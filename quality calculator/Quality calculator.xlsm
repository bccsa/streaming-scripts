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5_Live_Production\01_Templates\05_Program_Control\01_ffmpeg_scripts\"/>
    </mc:Choice>
  </mc:AlternateContent>
  <xr:revisionPtr revIDLastSave="0" documentId="13_ncr:1_{FA30CC18-E8C2-479E-8191-2F6A613DA7E2}" xr6:coauthVersionLast="47" xr6:coauthVersionMax="47" xr10:uidLastSave="{00000000-0000-0000-0000-000000000000}"/>
  <bookViews>
    <workbookView xWindow="-120" yWindow="-120" windowWidth="29040" windowHeight="15840" xr2:uid="{36D9D0A6-1094-4972-9D7E-9CD763372D39}"/>
  </bookViews>
  <sheets>
    <sheet name="Sheet1" sheetId="1" r:id="rId1"/>
  </sheets>
  <functionGroups builtInGroupCount="19"/>
  <definedNames>
    <definedName name="source">Sheet1!$I$19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1" l="1"/>
  <c r="P3" i="1" s="1"/>
  <c r="O4" i="1"/>
  <c r="P4" i="1" s="1"/>
  <c r="O5" i="1"/>
  <c r="P5" i="1" s="1"/>
  <c r="O6" i="1"/>
  <c r="P6" i="1" s="1"/>
  <c r="O7" i="1"/>
  <c r="P7" i="1" s="1"/>
  <c r="O8" i="1"/>
  <c r="P8" i="1" s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D110" i="1"/>
  <c r="D111" i="1"/>
  <c r="D112" i="1"/>
  <c r="D113" i="1"/>
  <c r="E113" i="1" s="1"/>
  <c r="D114" i="1"/>
  <c r="D115" i="1"/>
  <c r="D116" i="1"/>
  <c r="D117" i="1"/>
  <c r="D118" i="1"/>
  <c r="D119" i="1"/>
  <c r="D120" i="1"/>
  <c r="D121" i="1"/>
  <c r="E121" i="1" s="1"/>
  <c r="D122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D68" i="1"/>
  <c r="D69" i="1"/>
  <c r="D70" i="1"/>
  <c r="D71" i="1"/>
  <c r="D72" i="1"/>
  <c r="D73" i="1"/>
  <c r="D74" i="1"/>
  <c r="D75" i="1"/>
  <c r="E75" i="1" s="1"/>
  <c r="D76" i="1"/>
  <c r="D77" i="1"/>
  <c r="D78" i="1"/>
  <c r="D79" i="1"/>
  <c r="D80" i="1"/>
  <c r="D81" i="1"/>
  <c r="D82" i="1"/>
  <c r="D83" i="1"/>
  <c r="D84" i="1"/>
  <c r="D85" i="1"/>
  <c r="D86" i="1"/>
  <c r="D8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B8" i="1"/>
  <c r="B9" i="1"/>
  <c r="B10" i="1"/>
  <c r="C10" i="1" s="1"/>
  <c r="B11" i="1"/>
  <c r="C11" i="1" s="1"/>
  <c r="B12" i="1"/>
  <c r="B13" i="1"/>
  <c r="B14" i="1"/>
  <c r="B15" i="1"/>
  <c r="B16" i="1"/>
  <c r="B17" i="1"/>
  <c r="B18" i="1"/>
  <c r="C18" i="1" s="1"/>
  <c r="B19" i="1"/>
  <c r="B20" i="1"/>
  <c r="B21" i="1"/>
  <c r="B22" i="1"/>
  <c r="B23" i="1"/>
  <c r="B24" i="1"/>
  <c r="B25" i="1"/>
  <c r="B26" i="1"/>
  <c r="C26" i="1" s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3" i="1"/>
  <c r="D4" i="1"/>
  <c r="D5" i="1"/>
  <c r="D6" i="1"/>
  <c r="D7" i="1"/>
  <c r="B3" i="1"/>
  <c r="B4" i="1"/>
  <c r="B5" i="1"/>
  <c r="B6" i="1"/>
  <c r="B7" i="1"/>
  <c r="E15" i="1" l="1"/>
  <c r="E102" i="1"/>
  <c r="E92" i="1"/>
  <c r="C104" i="1"/>
  <c r="C96" i="1"/>
  <c r="E114" i="1"/>
  <c r="C102" i="1"/>
  <c r="C94" i="1"/>
  <c r="C113" i="1"/>
  <c r="C107" i="1"/>
  <c r="E94" i="1"/>
  <c r="E104" i="1"/>
  <c r="E122" i="1"/>
  <c r="C91" i="1"/>
  <c r="C116" i="1"/>
  <c r="C105" i="1"/>
  <c r="C97" i="1"/>
  <c r="C89" i="1"/>
  <c r="C103" i="1"/>
  <c r="C115" i="1"/>
  <c r="E105" i="1"/>
  <c r="E97" i="1"/>
  <c r="E89" i="1"/>
  <c r="C121" i="1"/>
  <c r="E118" i="1"/>
  <c r="C108" i="1"/>
  <c r="C92" i="1"/>
  <c r="E100" i="1"/>
  <c r="E120" i="1"/>
  <c r="E108" i="1"/>
  <c r="E107" i="1"/>
  <c r="E99" i="1"/>
  <c r="E91" i="1"/>
  <c r="E111" i="1"/>
  <c r="C118" i="1"/>
  <c r="C110" i="1"/>
  <c r="E112" i="1"/>
  <c r="E106" i="1"/>
  <c r="E98" i="1"/>
  <c r="E90" i="1"/>
  <c r="E110" i="1"/>
  <c r="C122" i="1"/>
  <c r="C114" i="1"/>
  <c r="C111" i="1"/>
  <c r="C100" i="1"/>
  <c r="C106" i="1"/>
  <c r="C90" i="1"/>
  <c r="E119" i="1"/>
  <c r="E88" i="1"/>
  <c r="E96" i="1"/>
  <c r="C120" i="1"/>
  <c r="C112" i="1"/>
  <c r="C117" i="1"/>
  <c r="C119" i="1"/>
  <c r="E109" i="1"/>
  <c r="E101" i="1"/>
  <c r="E93" i="1"/>
  <c r="C109" i="1"/>
  <c r="C101" i="1"/>
  <c r="C93" i="1"/>
  <c r="C98" i="1"/>
  <c r="C99" i="1"/>
  <c r="E14" i="1"/>
  <c r="E74" i="1"/>
  <c r="E117" i="1"/>
  <c r="E116" i="1"/>
  <c r="E115" i="1"/>
  <c r="C95" i="1"/>
  <c r="C88" i="1"/>
  <c r="E95" i="1"/>
  <c r="E103" i="1"/>
  <c r="C58" i="1"/>
  <c r="E58" i="1"/>
  <c r="C81" i="1"/>
  <c r="E81" i="1"/>
  <c r="E73" i="1"/>
  <c r="C73" i="1"/>
  <c r="C65" i="1"/>
  <c r="E65" i="1"/>
  <c r="C57" i="1"/>
  <c r="E57" i="1"/>
  <c r="C49" i="1"/>
  <c r="E49" i="1"/>
  <c r="C41" i="1"/>
  <c r="E41" i="1"/>
  <c r="C33" i="1"/>
  <c r="E33" i="1"/>
  <c r="C25" i="1"/>
  <c r="E25" i="1"/>
  <c r="E17" i="1"/>
  <c r="C17" i="1"/>
  <c r="E9" i="1"/>
  <c r="C9" i="1"/>
  <c r="E50" i="1"/>
  <c r="C50" i="1"/>
  <c r="C80" i="1"/>
  <c r="E80" i="1"/>
  <c r="E72" i="1"/>
  <c r="C72" i="1"/>
  <c r="C64" i="1"/>
  <c r="E64" i="1"/>
  <c r="C56" i="1"/>
  <c r="E56" i="1"/>
  <c r="C48" i="1"/>
  <c r="E48" i="1"/>
  <c r="C40" i="1"/>
  <c r="E40" i="1"/>
  <c r="C32" i="1"/>
  <c r="E32" i="1"/>
  <c r="C24" i="1"/>
  <c r="E24" i="1"/>
  <c r="E16" i="1"/>
  <c r="C16" i="1"/>
  <c r="E8" i="1"/>
  <c r="C8" i="1"/>
  <c r="C87" i="1"/>
  <c r="E87" i="1"/>
  <c r="C79" i="1"/>
  <c r="E79" i="1"/>
  <c r="C71" i="1"/>
  <c r="E71" i="1"/>
  <c r="C55" i="1"/>
  <c r="E55" i="1"/>
  <c r="C47" i="1"/>
  <c r="E47" i="1"/>
  <c r="C23" i="1"/>
  <c r="E23" i="1"/>
  <c r="C7" i="1"/>
  <c r="E7" i="1"/>
  <c r="C63" i="1"/>
  <c r="E63" i="1"/>
  <c r="C86" i="1"/>
  <c r="E86" i="1"/>
  <c r="E70" i="1"/>
  <c r="C70" i="1"/>
  <c r="E54" i="1"/>
  <c r="C54" i="1"/>
  <c r="C46" i="1"/>
  <c r="E46" i="1"/>
  <c r="C38" i="1"/>
  <c r="E38" i="1"/>
  <c r="E30" i="1"/>
  <c r="C30" i="1"/>
  <c r="C6" i="1"/>
  <c r="E6" i="1"/>
  <c r="C82" i="1"/>
  <c r="I8" i="1" s="1"/>
  <c r="E82" i="1"/>
  <c r="J8" i="1" s="1"/>
  <c r="E66" i="1"/>
  <c r="C66" i="1"/>
  <c r="C42" i="1"/>
  <c r="I5" i="1" s="1"/>
  <c r="E42" i="1"/>
  <c r="C31" i="1"/>
  <c r="E31" i="1"/>
  <c r="C78" i="1"/>
  <c r="E78" i="1"/>
  <c r="C62" i="1"/>
  <c r="E62" i="1"/>
  <c r="E22" i="1"/>
  <c r="C22" i="1"/>
  <c r="C85" i="1"/>
  <c r="E85" i="1"/>
  <c r="C77" i="1"/>
  <c r="E77" i="1"/>
  <c r="E69" i="1"/>
  <c r="C69" i="1"/>
  <c r="C61" i="1"/>
  <c r="E61" i="1"/>
  <c r="C53" i="1"/>
  <c r="E53" i="1"/>
  <c r="C45" i="1"/>
  <c r="E45" i="1"/>
  <c r="E37" i="1"/>
  <c r="C37" i="1"/>
  <c r="E29" i="1"/>
  <c r="C29" i="1"/>
  <c r="E21" i="1"/>
  <c r="C21" i="1"/>
  <c r="C13" i="1"/>
  <c r="E13" i="1"/>
  <c r="C5" i="1"/>
  <c r="E5" i="1"/>
  <c r="C84" i="1"/>
  <c r="E84" i="1"/>
  <c r="C76" i="1"/>
  <c r="E76" i="1"/>
  <c r="E68" i="1"/>
  <c r="C68" i="1"/>
  <c r="E60" i="1"/>
  <c r="C60" i="1"/>
  <c r="C52" i="1"/>
  <c r="E52" i="1"/>
  <c r="E44" i="1"/>
  <c r="C44" i="1"/>
  <c r="E36" i="1"/>
  <c r="C36" i="1"/>
  <c r="E28" i="1"/>
  <c r="C28" i="1"/>
  <c r="E20" i="1"/>
  <c r="C20" i="1"/>
  <c r="C12" i="1"/>
  <c r="E12" i="1"/>
  <c r="C4" i="1"/>
  <c r="E4" i="1"/>
  <c r="E34" i="1"/>
  <c r="C34" i="1"/>
  <c r="C39" i="1"/>
  <c r="E39" i="1"/>
  <c r="C83" i="1"/>
  <c r="E83" i="1"/>
  <c r="C67" i="1"/>
  <c r="E67" i="1"/>
  <c r="C59" i="1"/>
  <c r="E59" i="1"/>
  <c r="C51" i="1"/>
  <c r="E51" i="1"/>
  <c r="E43" i="1"/>
  <c r="C43" i="1"/>
  <c r="E35" i="1"/>
  <c r="C35" i="1"/>
  <c r="E27" i="1"/>
  <c r="C27" i="1"/>
  <c r="E19" i="1"/>
  <c r="C19" i="1"/>
  <c r="E3" i="1"/>
  <c r="C3" i="1"/>
  <c r="E26" i="1"/>
  <c r="E10" i="1"/>
  <c r="C15" i="1"/>
  <c r="C14" i="1"/>
  <c r="E11" i="1"/>
  <c r="C75" i="1"/>
  <c r="E18" i="1"/>
  <c r="C74" i="1"/>
  <c r="I3" i="1" l="1"/>
  <c r="J4" i="1"/>
  <c r="I6" i="1"/>
  <c r="J7" i="1"/>
  <c r="J6" i="1"/>
  <c r="J5" i="1"/>
  <c r="K5" i="1" s="1"/>
  <c r="M5" i="1" s="1"/>
  <c r="J3" i="1"/>
  <c r="I7" i="1"/>
  <c r="I4" i="1"/>
  <c r="K8" i="1"/>
  <c r="M8" i="1" s="1"/>
  <c r="K3" i="1" l="1"/>
  <c r="M3" i="1" s="1"/>
  <c r="K6" i="1"/>
  <c r="M6" i="1" s="1"/>
  <c r="K7" i="1"/>
  <c r="M7" i="1" s="1"/>
  <c r="K4" i="1"/>
  <c r="M4" i="1" s="1"/>
</calcChain>
</file>

<file path=xl/sharedStrings.xml><?xml version="1.0" encoding="utf-8"?>
<sst xmlns="http://schemas.openxmlformats.org/spreadsheetml/2006/main" count="33" uniqueCount="30">
  <si>
    <t>step</t>
  </si>
  <si>
    <t>height multiplier</t>
  </si>
  <si>
    <t>height</t>
  </si>
  <si>
    <t>width multiplier</t>
  </si>
  <si>
    <t>width</t>
  </si>
  <si>
    <t>pixels per bitrate</t>
  </si>
  <si>
    <t>Total bitrate</t>
  </si>
  <si>
    <t>Aspect ratio</t>
  </si>
  <si>
    <t>Quality</t>
  </si>
  <si>
    <t>Language</t>
  </si>
  <si>
    <t>language</t>
  </si>
  <si>
    <t>title</t>
  </si>
  <si>
    <t>audioBitrate</t>
  </si>
  <si>
    <t>audioChannels</t>
  </si>
  <si>
    <t>videoBitrate</t>
  </si>
  <si>
    <t>pixels</t>
  </si>
  <si>
    <t>mul</t>
  </si>
  <si>
    <t>Untranslated</t>
  </si>
  <si>
    <t>eng</t>
  </si>
  <si>
    <t>English</t>
  </si>
  <si>
    <t>fra</t>
  </si>
  <si>
    <t>Française</t>
  </si>
  <si>
    <t>nya</t>
  </si>
  <si>
    <t>Chichewa / Nyanja</t>
  </si>
  <si>
    <t>swa</t>
  </si>
  <si>
    <t>Swahili</t>
  </si>
  <si>
    <t>Order of audio channels should match sTVlive STREAMING.cmd</t>
  </si>
  <si>
    <t>Order of video channels should match sTVlive STREAMING.cmd</t>
  </si>
  <si>
    <t>source:</t>
  </si>
  <si>
    <t>_source_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</si>
</sst>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NumberFormat="1" applyFill="1"/>
    <xf numFmtId="0" fontId="0" fillId="0" borderId="0" xfId="0" applyFill="1"/>
    <xf numFmtId="0" fontId="0" fillId="0" borderId="0" xfId="0" applyNumberFormat="1" applyFill="1"/>
    <xf numFmtId="0" fontId="2" fillId="0" borderId="0" xfId="0" applyFo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15</xdr:row>
          <xdr:rowOff>171450</xdr:rowOff>
        </xdr:from>
        <xdr:to>
          <xdr:col>9</xdr:col>
          <xdr:colOff>0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SMIL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A8FC92-1865-4E73-BE83-9254FD51B669}" name="aspectratio" displayName="aspectratio" ref="A2:E122" totalsRowShown="0">
  <autoFilter ref="A2:E122" xr:uid="{4EA8FC92-1865-4E73-BE83-9254FD51B669}"/>
  <tableColumns count="5">
    <tableColumn id="1" xr3:uid="{1D89DE9E-3178-4778-A4D0-DF521626F633}" name="step" dataDxfId="10">
      <calculatedColumnFormula>ROW(aspectratio[[#This Row],[height multiplier]])-1</calculatedColumnFormula>
    </tableColumn>
    <tableColumn id="2" xr3:uid="{487A9CA6-C354-4C98-B532-3AE34BD73D53}" name="height multiplier" dataDxfId="9">
      <calculatedColumnFormula>9</calculatedColumnFormula>
    </tableColumn>
    <tableColumn id="3" xr3:uid="{3437FEB2-6EEF-483F-811F-ACABA4042809}" name="height" dataDxfId="8">
      <calculatedColumnFormula>aspectratio[[#This Row],[step]]*aspectratio[[#This Row],[height multiplier]]</calculatedColumnFormula>
    </tableColumn>
    <tableColumn id="4" xr3:uid="{34C20ADC-AC28-4508-89AC-693B3CB68C1B}" name="width multiplier" dataDxfId="7">
      <calculatedColumnFormula>16</calculatedColumnFormula>
    </tableColumn>
    <tableColumn id="5" xr3:uid="{C358B56E-A2B3-48D3-808F-93B90E21866B}" name="width" dataDxfId="6">
      <calculatedColumnFormula>aspectratio[[#This Row],[width multiplier]]*aspectratio[[#This Row],[step]]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5A4E52-BF62-47DD-911E-7960651F06C4}" name="quality" displayName="quality" ref="H2:P8" totalsRowShown="0">
  <autoFilter ref="H2:P8" xr:uid="{035A4E52-BF62-47DD-911E-7960651F06C4}"/>
  <tableColumns count="9">
    <tableColumn id="5" xr3:uid="{AB40E28B-C320-4268-BD60-6C146E8DFE88}" name="step"/>
    <tableColumn id="2" xr3:uid="{F4F6D2BF-E6DA-49E1-97AC-E7250603FD97}" name="height" dataDxfId="5">
      <calculatedColumnFormula>VLOOKUP(quality[[#This Row],[step]],aspectratio[],3,FALSE)</calculatedColumnFormula>
    </tableColumn>
    <tableColumn id="1" xr3:uid="{85CE225D-A308-49FA-B933-A268F715AA3E}" name="width" dataDxfId="4">
      <calculatedColumnFormula>VLOOKUP(quality[[#This Row],[step]],aspectratio[],5,FALSE)</calculatedColumnFormula>
    </tableColumn>
    <tableColumn id="6" xr3:uid="{D01ACCF0-62FC-43D0-8F92-C8AD27F67C2A}" name="pixels" dataDxfId="3">
      <calculatedColumnFormula>quality[[#This Row],[height]]*quality[[#This Row],[width]]</calculatedColumnFormula>
    </tableColumn>
    <tableColumn id="3" xr3:uid="{EDC5AE8B-31D8-4150-B174-099DE4B9BF13}" name="videoBitrate"/>
    <tableColumn id="7" xr3:uid="{A0DCCAFD-89A4-47C8-800F-742624FB6983}" name="pixels per bitrate" dataDxfId="2">
      <calculatedColumnFormula>quality[[#This Row],[pixels]]/quality[[#This Row],[videoBitrate]]</calculatedColumnFormula>
    </tableColumn>
    <tableColumn id="4" xr3:uid="{A9C168D9-3A48-4471-BE51-AFE5B7493565}" name="audioChannels"/>
    <tableColumn id="8" xr3:uid="{78B0FEA2-7C5D-4F9D-A36B-1899F6CB621E}" name="audioBitrate" dataDxfId="1">
      <calculatedColumnFormula>quality[[#This Row],[audioChannels]]*64000</calculatedColumnFormula>
    </tableColumn>
    <tableColumn id="9" xr3:uid="{286813D4-E234-4ED4-AB2F-6499DCFE008A}" name="Total bitrate" dataDxfId="0">
      <calculatedColumnFormula>quality[[#This Row],[audioBitrate]]+quality[[#This Row],[videoBitrate]]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17AB6F-2867-4D63-8E3C-0FBC4F296473}" name="language" displayName="language" ref="S2:T7" totalsRowShown="0">
  <autoFilter ref="S2:T7" xr:uid="{2017AB6F-2867-4D63-8E3C-0FBC4F296473}"/>
  <tableColumns count="2">
    <tableColumn id="1" xr3:uid="{F04997BC-55FC-4199-929B-7F8F197411C7}" name="language"/>
    <tableColumn id="2" xr3:uid="{382CEBAA-EFBC-4E15-B165-39D63BA95435}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2816-DF14-4360-A76E-B53248C899CE}">
  <sheetPr codeName="Sheet1"/>
  <dimension ref="A1:T125"/>
  <sheetViews>
    <sheetView tabSelected="1" workbookViewId="0">
      <selection activeCell="L12" sqref="L12"/>
    </sheetView>
  </sheetViews>
  <sheetFormatPr defaultRowHeight="15" x14ac:dyDescent="0.25"/>
  <cols>
    <col min="2" max="2" width="18.42578125" bestFit="1" customWidth="1"/>
    <col min="3" max="3" width="9" bestFit="1" customWidth="1"/>
    <col min="4" max="4" width="17.85546875" bestFit="1" customWidth="1"/>
    <col min="6" max="7" width="3.140625" customWidth="1"/>
    <col min="8" max="8" width="7.28515625" bestFit="1" customWidth="1"/>
    <col min="10" max="10" width="8.85546875" bestFit="1" customWidth="1"/>
    <col min="12" max="12" width="14.28515625" bestFit="1" customWidth="1"/>
    <col min="13" max="13" width="16.7109375" customWidth="1"/>
    <col min="14" max="14" width="17" bestFit="1" customWidth="1"/>
    <col min="15" max="15" width="15" bestFit="1" customWidth="1"/>
    <col min="16" max="16" width="14.140625" bestFit="1" customWidth="1"/>
    <col min="17" max="18" width="3.28515625" customWidth="1"/>
    <col min="19" max="19" width="11.42578125" customWidth="1"/>
  </cols>
  <sheetData>
    <row r="1" spans="1:20" x14ac:dyDescent="0.25">
      <c r="A1" t="s">
        <v>7</v>
      </c>
      <c r="H1" t="s">
        <v>8</v>
      </c>
      <c r="J1" s="6" t="s">
        <v>27</v>
      </c>
      <c r="S1" t="s">
        <v>9</v>
      </c>
      <c r="T1" s="6" t="s">
        <v>26</v>
      </c>
    </row>
    <row r="2" spans="1:2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H2" t="s">
        <v>0</v>
      </c>
      <c r="I2" t="s">
        <v>2</v>
      </c>
      <c r="J2" t="s">
        <v>4</v>
      </c>
      <c r="K2" t="s">
        <v>15</v>
      </c>
      <c r="L2" t="s">
        <v>14</v>
      </c>
      <c r="M2" t="s">
        <v>5</v>
      </c>
      <c r="N2" t="s">
        <v>13</v>
      </c>
      <c r="O2" t="s">
        <v>12</v>
      </c>
      <c r="P2" t="s">
        <v>6</v>
      </c>
      <c r="S2" t="s">
        <v>10</v>
      </c>
      <c r="T2" t="s">
        <v>11</v>
      </c>
    </row>
    <row r="3" spans="1:20" x14ac:dyDescent="0.25">
      <c r="A3">
        <f>ROW(aspectratio[[#This Row],[height multiplier]])-1</f>
        <v>2</v>
      </c>
      <c r="B3">
        <f>9</f>
        <v>9</v>
      </c>
      <c r="C3">
        <f>aspectratio[[#This Row],[step]]*aspectratio[[#This Row],[height multiplier]]</f>
        <v>18</v>
      </c>
      <c r="D3">
        <f>16</f>
        <v>16</v>
      </c>
      <c r="E3">
        <f>aspectratio[[#This Row],[width multiplier]]*aspectratio[[#This Row],[step]]</f>
        <v>32</v>
      </c>
      <c r="H3">
        <v>80</v>
      </c>
      <c r="I3">
        <f>VLOOKUP(quality[[#This Row],[step]],aspectratio[],3,FALSE)</f>
        <v>720</v>
      </c>
      <c r="J3">
        <f>VLOOKUP(quality[[#This Row],[step]],aspectratio[],5,FALSE)</f>
        <v>1280</v>
      </c>
      <c r="K3">
        <f>quality[[#This Row],[height]]*quality[[#This Row],[width]]</f>
        <v>921600</v>
      </c>
      <c r="L3">
        <v>3000000</v>
      </c>
      <c r="M3">
        <f>quality[[#This Row],[pixels]]/quality[[#This Row],[videoBitrate]]</f>
        <v>0.30719999999999997</v>
      </c>
      <c r="N3">
        <v>2</v>
      </c>
      <c r="O3" s="1">
        <f>quality[[#This Row],[audioChannels]]*64000</f>
        <v>128000</v>
      </c>
      <c r="P3" s="1">
        <f>quality[[#This Row],[audioBitrate]]+quality[[#This Row],[videoBitrate]]</f>
        <v>3128000</v>
      </c>
      <c r="S3" t="s">
        <v>16</v>
      </c>
      <c r="T3" t="s">
        <v>17</v>
      </c>
    </row>
    <row r="4" spans="1:20" x14ac:dyDescent="0.25">
      <c r="A4">
        <f>ROW(aspectratio[[#This Row],[height multiplier]])-1</f>
        <v>3</v>
      </c>
      <c r="B4">
        <f>9</f>
        <v>9</v>
      </c>
      <c r="C4">
        <f>aspectratio[[#This Row],[step]]*aspectratio[[#This Row],[height multiplier]]</f>
        <v>27</v>
      </c>
      <c r="D4">
        <f>16</f>
        <v>16</v>
      </c>
      <c r="E4">
        <f>aspectratio[[#This Row],[width multiplier]]*aspectratio[[#This Row],[step]]</f>
        <v>48</v>
      </c>
      <c r="H4">
        <v>60</v>
      </c>
      <c r="I4">
        <f>VLOOKUP(quality[[#This Row],[step]],aspectratio[],3,FALSE)</f>
        <v>540</v>
      </c>
      <c r="J4">
        <f>VLOOKUP(quality[[#This Row],[step]],aspectratio[],5,FALSE)</f>
        <v>960</v>
      </c>
      <c r="K4">
        <f>quality[[#This Row],[height]]*quality[[#This Row],[width]]</f>
        <v>518400</v>
      </c>
      <c r="L4">
        <v>1650000</v>
      </c>
      <c r="M4">
        <f>quality[[#This Row],[pixels]]/quality[[#This Row],[videoBitrate]]</f>
        <v>0.31418181818181817</v>
      </c>
      <c r="N4">
        <v>2</v>
      </c>
      <c r="O4" s="1">
        <f>quality[[#This Row],[audioChannels]]*64000</f>
        <v>128000</v>
      </c>
      <c r="P4" s="1">
        <f>quality[[#This Row],[audioBitrate]]+quality[[#This Row],[videoBitrate]]</f>
        <v>1778000</v>
      </c>
      <c r="S4" t="s">
        <v>18</v>
      </c>
      <c r="T4" t="s">
        <v>19</v>
      </c>
    </row>
    <row r="5" spans="1:20" x14ac:dyDescent="0.25">
      <c r="A5">
        <f>ROW(aspectratio[[#This Row],[height multiplier]])-1</f>
        <v>4</v>
      </c>
      <c r="B5">
        <f>9</f>
        <v>9</v>
      </c>
      <c r="C5">
        <f>aspectratio[[#This Row],[step]]*aspectratio[[#This Row],[height multiplier]]</f>
        <v>36</v>
      </c>
      <c r="D5">
        <f>16</f>
        <v>16</v>
      </c>
      <c r="E5">
        <f>aspectratio[[#This Row],[width multiplier]]*aspectratio[[#This Row],[step]]</f>
        <v>64</v>
      </c>
      <c r="H5">
        <v>50</v>
      </c>
      <c r="I5">
        <f>VLOOKUP(quality[[#This Row],[step]],aspectratio[],3,FALSE)</f>
        <v>450</v>
      </c>
      <c r="J5">
        <f>VLOOKUP(quality[[#This Row],[step]],aspectratio[],5,FALSE)</f>
        <v>800</v>
      </c>
      <c r="K5">
        <f>quality[[#This Row],[height]]*quality[[#This Row],[width]]</f>
        <v>360000</v>
      </c>
      <c r="L5">
        <v>935000</v>
      </c>
      <c r="M5">
        <f>quality[[#This Row],[pixels]]/quality[[#This Row],[videoBitrate]]</f>
        <v>0.38502673796791442</v>
      </c>
      <c r="N5">
        <v>2</v>
      </c>
      <c r="O5" s="1">
        <f>quality[[#This Row],[audioChannels]]*64000</f>
        <v>128000</v>
      </c>
      <c r="P5" s="1">
        <f>quality[[#This Row],[audioBitrate]]+quality[[#This Row],[videoBitrate]]</f>
        <v>1063000</v>
      </c>
      <c r="S5" t="s">
        <v>20</v>
      </c>
      <c r="T5" t="s">
        <v>21</v>
      </c>
    </row>
    <row r="6" spans="1:20" x14ac:dyDescent="0.25">
      <c r="A6">
        <f>ROW(aspectratio[[#This Row],[height multiplier]])-1</f>
        <v>5</v>
      </c>
      <c r="B6">
        <f>9</f>
        <v>9</v>
      </c>
      <c r="C6">
        <f>aspectratio[[#This Row],[step]]*aspectratio[[#This Row],[height multiplier]]</f>
        <v>45</v>
      </c>
      <c r="D6">
        <f>16</f>
        <v>16</v>
      </c>
      <c r="E6">
        <f>aspectratio[[#This Row],[width multiplier]]*aspectratio[[#This Row],[step]]</f>
        <v>80</v>
      </c>
      <c r="H6">
        <v>40</v>
      </c>
      <c r="I6" s="1">
        <f>VLOOKUP(quality[[#This Row],[step]],aspectratio[],3,FALSE)</f>
        <v>360</v>
      </c>
      <c r="J6" s="1">
        <f>VLOOKUP(quality[[#This Row],[step]],aspectratio[],5,FALSE)</f>
        <v>640</v>
      </c>
      <c r="K6" s="1">
        <f>quality[[#This Row],[height]]*quality[[#This Row],[width]]</f>
        <v>230400</v>
      </c>
      <c r="L6">
        <v>385000</v>
      </c>
      <c r="M6">
        <f>quality[[#This Row],[pixels]]/quality[[#This Row],[videoBitrate]]</f>
        <v>0.59844155844155844</v>
      </c>
      <c r="N6">
        <v>2</v>
      </c>
      <c r="O6" s="1">
        <f>quality[[#This Row],[audioChannels]]*64000</f>
        <v>128000</v>
      </c>
      <c r="P6" s="1">
        <f>quality[[#This Row],[audioBitrate]]+quality[[#This Row],[videoBitrate]]</f>
        <v>513000</v>
      </c>
      <c r="S6" t="s">
        <v>22</v>
      </c>
      <c r="T6" t="s">
        <v>23</v>
      </c>
    </row>
    <row r="7" spans="1:20" x14ac:dyDescent="0.25">
      <c r="A7">
        <f>ROW(aspectratio[[#This Row],[height multiplier]])-1</f>
        <v>6</v>
      </c>
      <c r="B7">
        <f>9</f>
        <v>9</v>
      </c>
      <c r="C7">
        <f>aspectratio[[#This Row],[step]]*aspectratio[[#This Row],[height multiplier]]</f>
        <v>54</v>
      </c>
      <c r="D7">
        <f>16</f>
        <v>16</v>
      </c>
      <c r="E7">
        <f>aspectratio[[#This Row],[width multiplier]]*aspectratio[[#This Row],[step]]</f>
        <v>96</v>
      </c>
      <c r="H7">
        <v>30</v>
      </c>
      <c r="I7" s="1">
        <f>VLOOKUP(quality[[#This Row],[step]],aspectratio[],3,FALSE)</f>
        <v>270</v>
      </c>
      <c r="J7" s="1">
        <f>VLOOKUP(quality[[#This Row],[step]],aspectratio[],5,FALSE)</f>
        <v>480</v>
      </c>
      <c r="K7" s="1">
        <f>quality[[#This Row],[height]]*quality[[#This Row],[width]]</f>
        <v>129600</v>
      </c>
      <c r="L7">
        <v>180000</v>
      </c>
      <c r="M7">
        <f>quality[[#This Row],[pixels]]/quality[[#This Row],[videoBitrate]]</f>
        <v>0.72</v>
      </c>
      <c r="N7">
        <v>1</v>
      </c>
      <c r="O7" s="1">
        <f>quality[[#This Row],[audioChannels]]*64000</f>
        <v>64000</v>
      </c>
      <c r="P7" s="1">
        <f>quality[[#This Row],[audioBitrate]]+quality[[#This Row],[videoBitrate]]</f>
        <v>244000</v>
      </c>
      <c r="S7" t="s">
        <v>24</v>
      </c>
      <c r="T7" t="s">
        <v>25</v>
      </c>
    </row>
    <row r="8" spans="1:20" x14ac:dyDescent="0.25">
      <c r="A8">
        <f>ROW(aspectratio[[#This Row],[height multiplier]])-1</f>
        <v>7</v>
      </c>
      <c r="B8" s="1">
        <f>9</f>
        <v>9</v>
      </c>
      <c r="C8" s="1">
        <f>aspectratio[[#This Row],[step]]*aspectratio[[#This Row],[height multiplier]]</f>
        <v>63</v>
      </c>
      <c r="D8" s="1">
        <f>16</f>
        <v>16</v>
      </c>
      <c r="E8" s="1">
        <f>aspectratio[[#This Row],[width multiplier]]*aspectratio[[#This Row],[step]]</f>
        <v>112</v>
      </c>
      <c r="H8">
        <v>20</v>
      </c>
      <c r="I8" s="1">
        <f>VLOOKUP(quality[[#This Row],[step]],aspectratio[],3,FALSE)</f>
        <v>180</v>
      </c>
      <c r="J8" s="1">
        <f>VLOOKUP(quality[[#This Row],[step]],aspectratio[],5,FALSE)</f>
        <v>320</v>
      </c>
      <c r="K8" s="1">
        <f>quality[[#This Row],[height]]*quality[[#This Row],[width]]</f>
        <v>57600</v>
      </c>
      <c r="L8">
        <v>120000</v>
      </c>
      <c r="M8">
        <f>quality[[#This Row],[pixels]]/quality[[#This Row],[videoBitrate]]</f>
        <v>0.48</v>
      </c>
      <c r="N8">
        <v>1</v>
      </c>
      <c r="O8" s="1">
        <f>quality[[#This Row],[audioChannels]]*64000</f>
        <v>64000</v>
      </c>
      <c r="P8" s="1">
        <f>quality[[#This Row],[audioBitrate]]+quality[[#This Row],[videoBitrate]]</f>
        <v>184000</v>
      </c>
    </row>
    <row r="9" spans="1:20" x14ac:dyDescent="0.25">
      <c r="A9">
        <f>ROW(aspectratio[[#This Row],[height multiplier]])-1</f>
        <v>8</v>
      </c>
      <c r="B9" s="1">
        <f>9</f>
        <v>9</v>
      </c>
      <c r="C9" s="1">
        <f>aspectratio[[#This Row],[step]]*aspectratio[[#This Row],[height multiplier]]</f>
        <v>72</v>
      </c>
      <c r="D9" s="1">
        <f>16</f>
        <v>16</v>
      </c>
      <c r="E9" s="1">
        <f>aspectratio[[#This Row],[width multiplier]]*aspectratio[[#This Row],[step]]</f>
        <v>128</v>
      </c>
    </row>
    <row r="10" spans="1:20" x14ac:dyDescent="0.25">
      <c r="A10">
        <f>ROW(aspectratio[[#This Row],[height multiplier]])-1</f>
        <v>9</v>
      </c>
      <c r="B10" s="1">
        <f>9</f>
        <v>9</v>
      </c>
      <c r="C10" s="1">
        <f>aspectratio[[#This Row],[step]]*aspectratio[[#This Row],[height multiplier]]</f>
        <v>81</v>
      </c>
      <c r="D10" s="1">
        <f>16</f>
        <v>16</v>
      </c>
      <c r="E10" s="1">
        <f>aspectratio[[#This Row],[width multiplier]]*aspectratio[[#This Row],[step]]</f>
        <v>144</v>
      </c>
    </row>
    <row r="11" spans="1:20" x14ac:dyDescent="0.25">
      <c r="A11">
        <f>ROW(aspectratio[[#This Row],[height multiplier]])-1</f>
        <v>10</v>
      </c>
      <c r="B11" s="1">
        <f>9</f>
        <v>9</v>
      </c>
      <c r="C11" s="1">
        <f>aspectratio[[#This Row],[step]]*aspectratio[[#This Row],[height multiplier]]</f>
        <v>90</v>
      </c>
      <c r="D11" s="1">
        <f>16</f>
        <v>16</v>
      </c>
      <c r="E11" s="1">
        <f>aspectratio[[#This Row],[width multiplier]]*aspectratio[[#This Row],[step]]</f>
        <v>160</v>
      </c>
    </row>
    <row r="12" spans="1:20" x14ac:dyDescent="0.25">
      <c r="A12">
        <f>ROW(aspectratio[[#This Row],[height multiplier]])-1</f>
        <v>11</v>
      </c>
      <c r="B12" s="1">
        <f>9</f>
        <v>9</v>
      </c>
      <c r="C12" s="1">
        <f>aspectratio[[#This Row],[step]]*aspectratio[[#This Row],[height multiplier]]</f>
        <v>99</v>
      </c>
      <c r="D12" s="1">
        <f>16</f>
        <v>16</v>
      </c>
      <c r="E12" s="1">
        <f>aspectratio[[#This Row],[width multiplier]]*aspectratio[[#This Row],[step]]</f>
        <v>176</v>
      </c>
    </row>
    <row r="13" spans="1:20" x14ac:dyDescent="0.25">
      <c r="A13">
        <f>ROW(aspectratio[[#This Row],[height multiplier]])-1</f>
        <v>12</v>
      </c>
      <c r="B13" s="1">
        <f>9</f>
        <v>9</v>
      </c>
      <c r="C13" s="1">
        <f>aspectratio[[#This Row],[step]]*aspectratio[[#This Row],[height multiplier]]</f>
        <v>108</v>
      </c>
      <c r="D13" s="1">
        <f>16</f>
        <v>16</v>
      </c>
      <c r="E13" s="1">
        <f>aspectratio[[#This Row],[width multiplier]]*aspectratio[[#This Row],[step]]</f>
        <v>192</v>
      </c>
    </row>
    <row r="14" spans="1:20" x14ac:dyDescent="0.25">
      <c r="A14">
        <f>ROW(aspectratio[[#This Row],[height multiplier]])-1</f>
        <v>13</v>
      </c>
      <c r="B14" s="1">
        <f>9</f>
        <v>9</v>
      </c>
      <c r="C14" s="1">
        <f>aspectratio[[#This Row],[step]]*aspectratio[[#This Row],[height multiplier]]</f>
        <v>117</v>
      </c>
      <c r="D14" s="1">
        <f>16</f>
        <v>16</v>
      </c>
      <c r="E14" s="1">
        <f>aspectratio[[#This Row],[width multiplier]]*aspectratio[[#This Row],[step]]</f>
        <v>208</v>
      </c>
    </row>
    <row r="15" spans="1:20" x14ac:dyDescent="0.25">
      <c r="A15">
        <f>ROW(aspectratio[[#This Row],[height multiplier]])-1</f>
        <v>14</v>
      </c>
      <c r="B15" s="1">
        <f>9</f>
        <v>9</v>
      </c>
      <c r="C15" s="1">
        <f>aspectratio[[#This Row],[step]]*aspectratio[[#This Row],[height multiplier]]</f>
        <v>126</v>
      </c>
      <c r="D15" s="1">
        <f>16</f>
        <v>16</v>
      </c>
      <c r="E15" s="1">
        <f>aspectratio[[#This Row],[width multiplier]]*aspectratio[[#This Row],[step]]</f>
        <v>224</v>
      </c>
    </row>
    <row r="16" spans="1:20" x14ac:dyDescent="0.25">
      <c r="A16">
        <f>ROW(aspectratio[[#This Row],[height multiplier]])-1</f>
        <v>15</v>
      </c>
      <c r="B16" s="1">
        <f>9</f>
        <v>9</v>
      </c>
      <c r="C16" s="1">
        <f>aspectratio[[#This Row],[step]]*aspectratio[[#This Row],[height multiplier]]</f>
        <v>135</v>
      </c>
      <c r="D16" s="1">
        <f>16</f>
        <v>16</v>
      </c>
      <c r="E16" s="1">
        <f>aspectratio[[#This Row],[width multiplier]]*aspectratio[[#This Row],[step]]</f>
        <v>240</v>
      </c>
    </row>
    <row r="17" spans="1:13" x14ac:dyDescent="0.25">
      <c r="A17">
        <f>ROW(aspectratio[[#This Row],[height multiplier]])-1</f>
        <v>16</v>
      </c>
      <c r="B17" s="1">
        <f>9</f>
        <v>9</v>
      </c>
      <c r="C17" s="1">
        <f>aspectratio[[#This Row],[step]]*aspectratio[[#This Row],[height multiplier]]</f>
        <v>144</v>
      </c>
      <c r="D17" s="1">
        <f>16</f>
        <v>16</v>
      </c>
      <c r="E17" s="1">
        <f>aspectratio[[#This Row],[width multiplier]]*aspectratio[[#This Row],[step]]</f>
        <v>256</v>
      </c>
    </row>
    <row r="18" spans="1:13" x14ac:dyDescent="0.25">
      <c r="A18">
        <f>ROW(aspectratio[[#This Row],[height multiplier]])-1</f>
        <v>17</v>
      </c>
      <c r="B18" s="1">
        <f>9</f>
        <v>9</v>
      </c>
      <c r="C18" s="1">
        <f>aspectratio[[#This Row],[step]]*aspectratio[[#This Row],[height multiplier]]</f>
        <v>153</v>
      </c>
      <c r="D18" s="1">
        <f>16</f>
        <v>16</v>
      </c>
      <c r="E18" s="1">
        <f>aspectratio[[#This Row],[width multiplier]]*aspectratio[[#This Row],[step]]</f>
        <v>272</v>
      </c>
    </row>
    <row r="19" spans="1:13" x14ac:dyDescent="0.25">
      <c r="A19">
        <f>ROW(aspectratio[[#This Row],[height multiplier]])-1</f>
        <v>18</v>
      </c>
      <c r="B19" s="1">
        <f>9</f>
        <v>9</v>
      </c>
      <c r="C19" s="1">
        <f>aspectratio[[#This Row],[step]]*aspectratio[[#This Row],[height multiplier]]</f>
        <v>162</v>
      </c>
      <c r="D19" s="1">
        <f>16</f>
        <v>16</v>
      </c>
      <c r="E19" s="1">
        <f>aspectratio[[#This Row],[width multiplier]]*aspectratio[[#This Row],[step]]</f>
        <v>288</v>
      </c>
      <c r="H19" s="7" t="s">
        <v>28</v>
      </c>
      <c r="I19" s="8" t="s">
        <v>29</v>
      </c>
      <c r="J19" s="8"/>
      <c r="K19" s="8"/>
      <c r="L19" s="8"/>
      <c r="M19" s="8"/>
    </row>
    <row r="20" spans="1:13" x14ac:dyDescent="0.25">
      <c r="A20">
        <f>ROW(aspectratio[[#This Row],[height multiplier]])-1</f>
        <v>19</v>
      </c>
      <c r="B20" s="1">
        <f>9</f>
        <v>9</v>
      </c>
      <c r="C20" s="1">
        <f>aspectratio[[#This Row],[step]]*aspectratio[[#This Row],[height multiplier]]</f>
        <v>171</v>
      </c>
      <c r="D20" s="1">
        <f>16</f>
        <v>16</v>
      </c>
      <c r="E20" s="1">
        <f>aspectratio[[#This Row],[width multiplier]]*aspectratio[[#This Row],[step]]</f>
        <v>304</v>
      </c>
    </row>
    <row r="21" spans="1:13" x14ac:dyDescent="0.25">
      <c r="A21">
        <f>ROW(aspectratio[[#This Row],[height multiplier]])-1</f>
        <v>20</v>
      </c>
      <c r="B21" s="1">
        <f>9</f>
        <v>9</v>
      </c>
      <c r="C21" s="1">
        <f>aspectratio[[#This Row],[step]]*aspectratio[[#This Row],[height multiplier]]</f>
        <v>180</v>
      </c>
      <c r="D21" s="1">
        <f>16</f>
        <v>16</v>
      </c>
      <c r="E21" s="1">
        <f>aspectratio[[#This Row],[width multiplier]]*aspectratio[[#This Row],[step]]</f>
        <v>320</v>
      </c>
    </row>
    <row r="22" spans="1:13" x14ac:dyDescent="0.25">
      <c r="A22" s="2">
        <f>ROW(aspectratio[[#This Row],[height multiplier]])-1</f>
        <v>21</v>
      </c>
      <c r="B22" s="3">
        <f>9</f>
        <v>9</v>
      </c>
      <c r="C22" s="3">
        <f>aspectratio[[#This Row],[step]]*aspectratio[[#This Row],[height multiplier]]</f>
        <v>189</v>
      </c>
      <c r="D22" s="3">
        <f>16</f>
        <v>16</v>
      </c>
      <c r="E22" s="3">
        <f>aspectratio[[#This Row],[width multiplier]]*aspectratio[[#This Row],[step]]</f>
        <v>336</v>
      </c>
    </row>
    <row r="23" spans="1:13" x14ac:dyDescent="0.25">
      <c r="A23">
        <f>ROW(aspectratio[[#This Row],[height multiplier]])-1</f>
        <v>22</v>
      </c>
      <c r="B23" s="1">
        <f>9</f>
        <v>9</v>
      </c>
      <c r="C23" s="1">
        <f>aspectratio[[#This Row],[step]]*aspectratio[[#This Row],[height multiplier]]</f>
        <v>198</v>
      </c>
      <c r="D23" s="1">
        <f>16</f>
        <v>16</v>
      </c>
      <c r="E23" s="1">
        <f>aspectratio[[#This Row],[width multiplier]]*aspectratio[[#This Row],[step]]</f>
        <v>352</v>
      </c>
    </row>
    <row r="24" spans="1:13" x14ac:dyDescent="0.25">
      <c r="A24">
        <f>ROW(aspectratio[[#This Row],[height multiplier]])-1</f>
        <v>23</v>
      </c>
      <c r="B24" s="1">
        <f>9</f>
        <v>9</v>
      </c>
      <c r="C24" s="1">
        <f>aspectratio[[#This Row],[step]]*aspectratio[[#This Row],[height multiplier]]</f>
        <v>207</v>
      </c>
      <c r="D24" s="1">
        <f>16</f>
        <v>16</v>
      </c>
      <c r="E24" s="1">
        <f>aspectratio[[#This Row],[width multiplier]]*aspectratio[[#This Row],[step]]</f>
        <v>368</v>
      </c>
    </row>
    <row r="25" spans="1:13" x14ac:dyDescent="0.25">
      <c r="A25">
        <f>ROW(aspectratio[[#This Row],[height multiplier]])-1</f>
        <v>24</v>
      </c>
      <c r="B25" s="1">
        <f>9</f>
        <v>9</v>
      </c>
      <c r="C25" s="1">
        <f>aspectratio[[#This Row],[step]]*aspectratio[[#This Row],[height multiplier]]</f>
        <v>216</v>
      </c>
      <c r="D25" s="1">
        <f>16</f>
        <v>16</v>
      </c>
      <c r="E25" s="1">
        <f>aspectratio[[#This Row],[width multiplier]]*aspectratio[[#This Row],[step]]</f>
        <v>384</v>
      </c>
    </row>
    <row r="26" spans="1:13" x14ac:dyDescent="0.25">
      <c r="A26">
        <f>ROW(aspectratio[[#This Row],[height multiplier]])-1</f>
        <v>25</v>
      </c>
      <c r="B26" s="1">
        <f>9</f>
        <v>9</v>
      </c>
      <c r="C26" s="1">
        <f>aspectratio[[#This Row],[step]]*aspectratio[[#This Row],[height multiplier]]</f>
        <v>225</v>
      </c>
      <c r="D26" s="1">
        <f>16</f>
        <v>16</v>
      </c>
      <c r="E26" s="1">
        <f>aspectratio[[#This Row],[width multiplier]]*aspectratio[[#This Row],[step]]</f>
        <v>400</v>
      </c>
    </row>
    <row r="27" spans="1:13" x14ac:dyDescent="0.25">
      <c r="A27">
        <f>ROW(aspectratio[[#This Row],[height multiplier]])-1</f>
        <v>26</v>
      </c>
      <c r="B27" s="1">
        <f>9</f>
        <v>9</v>
      </c>
      <c r="C27" s="1">
        <f>aspectratio[[#This Row],[step]]*aspectratio[[#This Row],[height multiplier]]</f>
        <v>234</v>
      </c>
      <c r="D27" s="1">
        <f>16</f>
        <v>16</v>
      </c>
      <c r="E27" s="1">
        <f>aspectratio[[#This Row],[width multiplier]]*aspectratio[[#This Row],[step]]</f>
        <v>416</v>
      </c>
    </row>
    <row r="28" spans="1:13" x14ac:dyDescent="0.25">
      <c r="A28">
        <f>ROW(aspectratio[[#This Row],[height multiplier]])-1</f>
        <v>27</v>
      </c>
      <c r="B28" s="1">
        <f>9</f>
        <v>9</v>
      </c>
      <c r="C28" s="1">
        <f>aspectratio[[#This Row],[step]]*aspectratio[[#This Row],[height multiplier]]</f>
        <v>243</v>
      </c>
      <c r="D28" s="1">
        <f>16</f>
        <v>16</v>
      </c>
      <c r="E28" s="1">
        <f>aspectratio[[#This Row],[width multiplier]]*aspectratio[[#This Row],[step]]</f>
        <v>432</v>
      </c>
    </row>
    <row r="29" spans="1:13" x14ac:dyDescent="0.25">
      <c r="A29" s="4">
        <f>ROW(aspectratio[[#This Row],[height multiplier]])-1</f>
        <v>28</v>
      </c>
      <c r="B29" s="5">
        <f>9</f>
        <v>9</v>
      </c>
      <c r="C29" s="5">
        <f>aspectratio[[#This Row],[step]]*aspectratio[[#This Row],[height multiplier]]</f>
        <v>252</v>
      </c>
      <c r="D29" s="5">
        <f>16</f>
        <v>16</v>
      </c>
      <c r="E29" s="5">
        <f>aspectratio[[#This Row],[width multiplier]]*aspectratio[[#This Row],[step]]</f>
        <v>448</v>
      </c>
    </row>
    <row r="30" spans="1:13" x14ac:dyDescent="0.25">
      <c r="A30">
        <f>ROW(aspectratio[[#This Row],[height multiplier]])-1</f>
        <v>29</v>
      </c>
      <c r="B30" s="1">
        <f>9</f>
        <v>9</v>
      </c>
      <c r="C30" s="1">
        <f>aspectratio[[#This Row],[step]]*aspectratio[[#This Row],[height multiplier]]</f>
        <v>261</v>
      </c>
      <c r="D30" s="1">
        <f>16</f>
        <v>16</v>
      </c>
      <c r="E30" s="1">
        <f>aspectratio[[#This Row],[width multiplier]]*aspectratio[[#This Row],[step]]</f>
        <v>464</v>
      </c>
    </row>
    <row r="31" spans="1:13" x14ac:dyDescent="0.25">
      <c r="A31">
        <f>ROW(aspectratio[[#This Row],[height multiplier]])-1</f>
        <v>30</v>
      </c>
      <c r="B31" s="1">
        <f>9</f>
        <v>9</v>
      </c>
      <c r="C31" s="1">
        <f>aspectratio[[#This Row],[step]]*aspectratio[[#This Row],[height multiplier]]</f>
        <v>270</v>
      </c>
      <c r="D31" s="1">
        <f>16</f>
        <v>16</v>
      </c>
      <c r="E31" s="1">
        <f>aspectratio[[#This Row],[width multiplier]]*aspectratio[[#This Row],[step]]</f>
        <v>480</v>
      </c>
    </row>
    <row r="32" spans="1:13" x14ac:dyDescent="0.25">
      <c r="A32" s="2">
        <f>ROW(aspectratio[[#This Row],[height multiplier]])-1</f>
        <v>31</v>
      </c>
      <c r="B32" s="3">
        <f>9</f>
        <v>9</v>
      </c>
      <c r="C32" s="3">
        <f>aspectratio[[#This Row],[step]]*aspectratio[[#This Row],[height multiplier]]</f>
        <v>279</v>
      </c>
      <c r="D32" s="3">
        <f>16</f>
        <v>16</v>
      </c>
      <c r="E32" s="3">
        <f>aspectratio[[#This Row],[width multiplier]]*aspectratio[[#This Row],[step]]</f>
        <v>496</v>
      </c>
    </row>
    <row r="33" spans="1:5" x14ac:dyDescent="0.25">
      <c r="A33">
        <f>ROW(aspectratio[[#This Row],[height multiplier]])-1</f>
        <v>32</v>
      </c>
      <c r="B33" s="1">
        <f>9</f>
        <v>9</v>
      </c>
      <c r="C33" s="1">
        <f>aspectratio[[#This Row],[step]]*aspectratio[[#This Row],[height multiplier]]</f>
        <v>288</v>
      </c>
      <c r="D33" s="1">
        <f>16</f>
        <v>16</v>
      </c>
      <c r="E33" s="1">
        <f>aspectratio[[#This Row],[width multiplier]]*aspectratio[[#This Row],[step]]</f>
        <v>512</v>
      </c>
    </row>
    <row r="34" spans="1:5" x14ac:dyDescent="0.25">
      <c r="A34">
        <f>ROW(aspectratio[[#This Row],[height multiplier]])-1</f>
        <v>33</v>
      </c>
      <c r="B34" s="1">
        <f>9</f>
        <v>9</v>
      </c>
      <c r="C34" s="1">
        <f>aspectratio[[#This Row],[step]]*aspectratio[[#This Row],[height multiplier]]</f>
        <v>297</v>
      </c>
      <c r="D34" s="1">
        <f>16</f>
        <v>16</v>
      </c>
      <c r="E34" s="1">
        <f>aspectratio[[#This Row],[width multiplier]]*aspectratio[[#This Row],[step]]</f>
        <v>528</v>
      </c>
    </row>
    <row r="35" spans="1:5" x14ac:dyDescent="0.25">
      <c r="A35">
        <f>ROW(aspectratio[[#This Row],[height multiplier]])-1</f>
        <v>34</v>
      </c>
      <c r="B35" s="1">
        <f>9</f>
        <v>9</v>
      </c>
      <c r="C35" s="1">
        <f>aspectratio[[#This Row],[step]]*aspectratio[[#This Row],[height multiplier]]</f>
        <v>306</v>
      </c>
      <c r="D35" s="1">
        <f>16</f>
        <v>16</v>
      </c>
      <c r="E35" s="1">
        <f>aspectratio[[#This Row],[width multiplier]]*aspectratio[[#This Row],[step]]</f>
        <v>544</v>
      </c>
    </row>
    <row r="36" spans="1:5" x14ac:dyDescent="0.25">
      <c r="A36">
        <f>ROW(aspectratio[[#This Row],[height multiplier]])-1</f>
        <v>35</v>
      </c>
      <c r="B36" s="1">
        <f>9</f>
        <v>9</v>
      </c>
      <c r="C36" s="1">
        <f>aspectratio[[#This Row],[step]]*aspectratio[[#This Row],[height multiplier]]</f>
        <v>315</v>
      </c>
      <c r="D36" s="1">
        <f>16</f>
        <v>16</v>
      </c>
      <c r="E36" s="1">
        <f>aspectratio[[#This Row],[width multiplier]]*aspectratio[[#This Row],[step]]</f>
        <v>560</v>
      </c>
    </row>
    <row r="37" spans="1:5" x14ac:dyDescent="0.25">
      <c r="A37">
        <f>ROW(aspectratio[[#This Row],[height multiplier]])-1</f>
        <v>36</v>
      </c>
      <c r="B37" s="1">
        <f>9</f>
        <v>9</v>
      </c>
      <c r="C37" s="1">
        <f>aspectratio[[#This Row],[step]]*aspectratio[[#This Row],[height multiplier]]</f>
        <v>324</v>
      </c>
      <c r="D37" s="1">
        <f>16</f>
        <v>16</v>
      </c>
      <c r="E37" s="1">
        <f>aspectratio[[#This Row],[width multiplier]]*aspectratio[[#This Row],[step]]</f>
        <v>576</v>
      </c>
    </row>
    <row r="38" spans="1:5" x14ac:dyDescent="0.25">
      <c r="A38">
        <f>ROW(aspectratio[[#This Row],[height multiplier]])-1</f>
        <v>37</v>
      </c>
      <c r="B38" s="1">
        <f>9</f>
        <v>9</v>
      </c>
      <c r="C38" s="1">
        <f>aspectratio[[#This Row],[step]]*aspectratio[[#This Row],[height multiplier]]</f>
        <v>333</v>
      </c>
      <c r="D38" s="1">
        <f>16</f>
        <v>16</v>
      </c>
      <c r="E38" s="1">
        <f>aspectratio[[#This Row],[width multiplier]]*aspectratio[[#This Row],[step]]</f>
        <v>592</v>
      </c>
    </row>
    <row r="39" spans="1:5" x14ac:dyDescent="0.25">
      <c r="A39">
        <f>ROW(aspectratio[[#This Row],[height multiplier]])-1</f>
        <v>38</v>
      </c>
      <c r="B39" s="1">
        <f>9</f>
        <v>9</v>
      </c>
      <c r="C39" s="1">
        <f>aspectratio[[#This Row],[step]]*aspectratio[[#This Row],[height multiplier]]</f>
        <v>342</v>
      </c>
      <c r="D39" s="1">
        <f>16</f>
        <v>16</v>
      </c>
      <c r="E39" s="1">
        <f>aspectratio[[#This Row],[width multiplier]]*aspectratio[[#This Row],[step]]</f>
        <v>608</v>
      </c>
    </row>
    <row r="40" spans="1:5" x14ac:dyDescent="0.25">
      <c r="A40">
        <f>ROW(aspectratio[[#This Row],[height multiplier]])-1</f>
        <v>39</v>
      </c>
      <c r="B40" s="1">
        <f>9</f>
        <v>9</v>
      </c>
      <c r="C40" s="1">
        <f>aspectratio[[#This Row],[step]]*aspectratio[[#This Row],[height multiplier]]</f>
        <v>351</v>
      </c>
      <c r="D40" s="1">
        <f>16</f>
        <v>16</v>
      </c>
      <c r="E40" s="1">
        <f>aspectratio[[#This Row],[width multiplier]]*aspectratio[[#This Row],[step]]</f>
        <v>624</v>
      </c>
    </row>
    <row r="41" spans="1:5" x14ac:dyDescent="0.25">
      <c r="A41">
        <f>ROW(aspectratio[[#This Row],[height multiplier]])-1</f>
        <v>40</v>
      </c>
      <c r="B41" s="1">
        <f>9</f>
        <v>9</v>
      </c>
      <c r="C41" s="1">
        <f>aspectratio[[#This Row],[step]]*aspectratio[[#This Row],[height multiplier]]</f>
        <v>360</v>
      </c>
      <c r="D41" s="1">
        <f>16</f>
        <v>16</v>
      </c>
      <c r="E41" s="1">
        <f>aspectratio[[#This Row],[width multiplier]]*aspectratio[[#This Row],[step]]</f>
        <v>640</v>
      </c>
    </row>
    <row r="42" spans="1:5" x14ac:dyDescent="0.25">
      <c r="A42" s="2">
        <f>ROW(aspectratio[[#This Row],[height multiplier]])-1</f>
        <v>41</v>
      </c>
      <c r="B42" s="3">
        <f>9</f>
        <v>9</v>
      </c>
      <c r="C42" s="3">
        <f>aspectratio[[#This Row],[step]]*aspectratio[[#This Row],[height multiplier]]</f>
        <v>369</v>
      </c>
      <c r="D42" s="3">
        <f>16</f>
        <v>16</v>
      </c>
      <c r="E42" s="3">
        <f>aspectratio[[#This Row],[width multiplier]]*aspectratio[[#This Row],[step]]</f>
        <v>656</v>
      </c>
    </row>
    <row r="43" spans="1:5" x14ac:dyDescent="0.25">
      <c r="A43">
        <f>ROW(aspectratio[[#This Row],[height multiplier]])-1</f>
        <v>42</v>
      </c>
      <c r="B43" s="1">
        <f>9</f>
        <v>9</v>
      </c>
      <c r="C43" s="1">
        <f>aspectratio[[#This Row],[step]]*aspectratio[[#This Row],[height multiplier]]</f>
        <v>378</v>
      </c>
      <c r="D43" s="1">
        <f>16</f>
        <v>16</v>
      </c>
      <c r="E43" s="1">
        <f>aspectratio[[#This Row],[width multiplier]]*aspectratio[[#This Row],[step]]</f>
        <v>672</v>
      </c>
    </row>
    <row r="44" spans="1:5" x14ac:dyDescent="0.25">
      <c r="A44">
        <f>ROW(aspectratio[[#This Row],[height multiplier]])-1</f>
        <v>43</v>
      </c>
      <c r="B44" s="1">
        <f>9</f>
        <v>9</v>
      </c>
      <c r="C44" s="1">
        <f>aspectratio[[#This Row],[step]]*aspectratio[[#This Row],[height multiplier]]</f>
        <v>387</v>
      </c>
      <c r="D44" s="1">
        <f>16</f>
        <v>16</v>
      </c>
      <c r="E44" s="1">
        <f>aspectratio[[#This Row],[width multiplier]]*aspectratio[[#This Row],[step]]</f>
        <v>688</v>
      </c>
    </row>
    <row r="45" spans="1:5" x14ac:dyDescent="0.25">
      <c r="A45">
        <f>ROW(aspectratio[[#This Row],[height multiplier]])-1</f>
        <v>44</v>
      </c>
      <c r="B45" s="1">
        <f>9</f>
        <v>9</v>
      </c>
      <c r="C45" s="1">
        <f>aspectratio[[#This Row],[step]]*aspectratio[[#This Row],[height multiplier]]</f>
        <v>396</v>
      </c>
      <c r="D45" s="1">
        <f>16</f>
        <v>16</v>
      </c>
      <c r="E45" s="1">
        <f>aspectratio[[#This Row],[width multiplier]]*aspectratio[[#This Row],[step]]</f>
        <v>704</v>
      </c>
    </row>
    <row r="46" spans="1:5" x14ac:dyDescent="0.25">
      <c r="A46">
        <f>ROW(aspectratio[[#This Row],[height multiplier]])-1</f>
        <v>45</v>
      </c>
      <c r="B46" s="1">
        <f>9</f>
        <v>9</v>
      </c>
      <c r="C46" s="1">
        <f>aspectratio[[#This Row],[step]]*aspectratio[[#This Row],[height multiplier]]</f>
        <v>405</v>
      </c>
      <c r="D46" s="1">
        <f>16</f>
        <v>16</v>
      </c>
      <c r="E46" s="1">
        <f>aspectratio[[#This Row],[width multiplier]]*aspectratio[[#This Row],[step]]</f>
        <v>720</v>
      </c>
    </row>
    <row r="47" spans="1:5" x14ac:dyDescent="0.25">
      <c r="A47">
        <f>ROW(aspectratio[[#This Row],[height multiplier]])-1</f>
        <v>46</v>
      </c>
      <c r="B47" s="1">
        <f>9</f>
        <v>9</v>
      </c>
      <c r="C47" s="1">
        <f>aspectratio[[#This Row],[step]]*aspectratio[[#This Row],[height multiplier]]</f>
        <v>414</v>
      </c>
      <c r="D47" s="1">
        <f>16</f>
        <v>16</v>
      </c>
      <c r="E47" s="1">
        <f>aspectratio[[#This Row],[width multiplier]]*aspectratio[[#This Row],[step]]</f>
        <v>736</v>
      </c>
    </row>
    <row r="48" spans="1:5" x14ac:dyDescent="0.25">
      <c r="A48">
        <f>ROW(aspectratio[[#This Row],[height multiplier]])-1</f>
        <v>47</v>
      </c>
      <c r="B48" s="1">
        <f>9</f>
        <v>9</v>
      </c>
      <c r="C48" s="1">
        <f>aspectratio[[#This Row],[step]]*aspectratio[[#This Row],[height multiplier]]</f>
        <v>423</v>
      </c>
      <c r="D48" s="1">
        <f>16</f>
        <v>16</v>
      </c>
      <c r="E48" s="1">
        <f>aspectratio[[#This Row],[width multiplier]]*aspectratio[[#This Row],[step]]</f>
        <v>752</v>
      </c>
    </row>
    <row r="49" spans="1:5" x14ac:dyDescent="0.25">
      <c r="A49">
        <f>ROW(aspectratio[[#This Row],[height multiplier]])-1</f>
        <v>48</v>
      </c>
      <c r="B49" s="1">
        <f>9</f>
        <v>9</v>
      </c>
      <c r="C49" s="1">
        <f>aspectratio[[#This Row],[step]]*aspectratio[[#This Row],[height multiplier]]</f>
        <v>432</v>
      </c>
      <c r="D49" s="1">
        <f>16</f>
        <v>16</v>
      </c>
      <c r="E49" s="1">
        <f>aspectratio[[#This Row],[width multiplier]]*aspectratio[[#This Row],[step]]</f>
        <v>768</v>
      </c>
    </row>
    <row r="50" spans="1:5" x14ac:dyDescent="0.25">
      <c r="A50">
        <f>ROW(aspectratio[[#This Row],[height multiplier]])-1</f>
        <v>49</v>
      </c>
      <c r="B50" s="1">
        <f>9</f>
        <v>9</v>
      </c>
      <c r="C50" s="1">
        <f>aspectratio[[#This Row],[step]]*aspectratio[[#This Row],[height multiplier]]</f>
        <v>441</v>
      </c>
      <c r="D50" s="1">
        <f>16</f>
        <v>16</v>
      </c>
      <c r="E50" s="1">
        <f>aspectratio[[#This Row],[width multiplier]]*aspectratio[[#This Row],[step]]</f>
        <v>784</v>
      </c>
    </row>
    <row r="51" spans="1:5" x14ac:dyDescent="0.25">
      <c r="A51">
        <f>ROW(aspectratio[[#This Row],[height multiplier]])-1</f>
        <v>50</v>
      </c>
      <c r="B51" s="1">
        <f>9</f>
        <v>9</v>
      </c>
      <c r="C51" s="1">
        <f>aspectratio[[#This Row],[step]]*aspectratio[[#This Row],[height multiplier]]</f>
        <v>450</v>
      </c>
      <c r="D51" s="1">
        <f>16</f>
        <v>16</v>
      </c>
      <c r="E51" s="1">
        <f>aspectratio[[#This Row],[width multiplier]]*aspectratio[[#This Row],[step]]</f>
        <v>800</v>
      </c>
    </row>
    <row r="52" spans="1:5" x14ac:dyDescent="0.25">
      <c r="A52" s="2">
        <f>ROW(aspectratio[[#This Row],[height multiplier]])-1</f>
        <v>51</v>
      </c>
      <c r="B52" s="3">
        <f>9</f>
        <v>9</v>
      </c>
      <c r="C52" s="3">
        <f>aspectratio[[#This Row],[step]]*aspectratio[[#This Row],[height multiplier]]</f>
        <v>459</v>
      </c>
      <c r="D52" s="3">
        <f>16</f>
        <v>16</v>
      </c>
      <c r="E52" s="3">
        <f>aspectratio[[#This Row],[width multiplier]]*aspectratio[[#This Row],[step]]</f>
        <v>816</v>
      </c>
    </row>
    <row r="53" spans="1:5" x14ac:dyDescent="0.25">
      <c r="A53">
        <f>ROW(aspectratio[[#This Row],[height multiplier]])-1</f>
        <v>52</v>
      </c>
      <c r="B53" s="1">
        <f>9</f>
        <v>9</v>
      </c>
      <c r="C53" s="1">
        <f>aspectratio[[#This Row],[step]]*aspectratio[[#This Row],[height multiplier]]</f>
        <v>468</v>
      </c>
      <c r="D53" s="1">
        <f>16</f>
        <v>16</v>
      </c>
      <c r="E53" s="1">
        <f>aspectratio[[#This Row],[width multiplier]]*aspectratio[[#This Row],[step]]</f>
        <v>832</v>
      </c>
    </row>
    <row r="54" spans="1:5" x14ac:dyDescent="0.25">
      <c r="A54">
        <f>ROW(aspectratio[[#This Row],[height multiplier]])-1</f>
        <v>53</v>
      </c>
      <c r="B54" s="1">
        <f>9</f>
        <v>9</v>
      </c>
      <c r="C54" s="1">
        <f>aspectratio[[#This Row],[step]]*aspectratio[[#This Row],[height multiplier]]</f>
        <v>477</v>
      </c>
      <c r="D54" s="1">
        <f>16</f>
        <v>16</v>
      </c>
      <c r="E54" s="1">
        <f>aspectratio[[#This Row],[width multiplier]]*aspectratio[[#This Row],[step]]</f>
        <v>848</v>
      </c>
    </row>
    <row r="55" spans="1:5" x14ac:dyDescent="0.25">
      <c r="A55">
        <f>ROW(aspectratio[[#This Row],[height multiplier]])-1</f>
        <v>54</v>
      </c>
      <c r="B55" s="1">
        <f>9</f>
        <v>9</v>
      </c>
      <c r="C55" s="1">
        <f>aspectratio[[#This Row],[step]]*aspectratio[[#This Row],[height multiplier]]</f>
        <v>486</v>
      </c>
      <c r="D55" s="1">
        <f>16</f>
        <v>16</v>
      </c>
      <c r="E55" s="1">
        <f>aspectratio[[#This Row],[width multiplier]]*aspectratio[[#This Row],[step]]</f>
        <v>864</v>
      </c>
    </row>
    <row r="56" spans="1:5" x14ac:dyDescent="0.25">
      <c r="A56" s="4">
        <f>ROW(aspectratio[[#This Row],[height multiplier]])-1</f>
        <v>55</v>
      </c>
      <c r="B56" s="5">
        <f>9</f>
        <v>9</v>
      </c>
      <c r="C56" s="5">
        <f>aspectratio[[#This Row],[step]]*aspectratio[[#This Row],[height multiplier]]</f>
        <v>495</v>
      </c>
      <c r="D56" s="5">
        <f>16</f>
        <v>16</v>
      </c>
      <c r="E56" s="5">
        <f>aspectratio[[#This Row],[width multiplier]]*aspectratio[[#This Row],[step]]</f>
        <v>880</v>
      </c>
    </row>
    <row r="57" spans="1:5" x14ac:dyDescent="0.25">
      <c r="A57">
        <f>ROW(aspectratio[[#This Row],[height multiplier]])-1</f>
        <v>56</v>
      </c>
      <c r="B57" s="1">
        <f>9</f>
        <v>9</v>
      </c>
      <c r="C57" s="1">
        <f>aspectratio[[#This Row],[step]]*aspectratio[[#This Row],[height multiplier]]</f>
        <v>504</v>
      </c>
      <c r="D57" s="1">
        <f>16</f>
        <v>16</v>
      </c>
      <c r="E57" s="1">
        <f>aspectratio[[#This Row],[width multiplier]]*aspectratio[[#This Row],[step]]</f>
        <v>896</v>
      </c>
    </row>
    <row r="58" spans="1:5" x14ac:dyDescent="0.25">
      <c r="A58">
        <f>ROW(aspectratio[[#This Row],[height multiplier]])-1</f>
        <v>57</v>
      </c>
      <c r="B58" s="1">
        <f>9</f>
        <v>9</v>
      </c>
      <c r="C58" s="1">
        <f>aspectratio[[#This Row],[step]]*aspectratio[[#This Row],[height multiplier]]</f>
        <v>513</v>
      </c>
      <c r="D58" s="1">
        <f>16</f>
        <v>16</v>
      </c>
      <c r="E58" s="1">
        <f>aspectratio[[#This Row],[width multiplier]]*aspectratio[[#This Row],[step]]</f>
        <v>912</v>
      </c>
    </row>
    <row r="59" spans="1:5" x14ac:dyDescent="0.25">
      <c r="A59">
        <f>ROW(aspectratio[[#This Row],[height multiplier]])-1</f>
        <v>58</v>
      </c>
      <c r="B59" s="1">
        <f>9</f>
        <v>9</v>
      </c>
      <c r="C59" s="1">
        <f>aspectratio[[#This Row],[step]]*aspectratio[[#This Row],[height multiplier]]</f>
        <v>522</v>
      </c>
      <c r="D59" s="1">
        <f>16</f>
        <v>16</v>
      </c>
      <c r="E59" s="1">
        <f>aspectratio[[#This Row],[width multiplier]]*aspectratio[[#This Row],[step]]</f>
        <v>928</v>
      </c>
    </row>
    <row r="60" spans="1:5" x14ac:dyDescent="0.25">
      <c r="A60">
        <f>ROW(aspectratio[[#This Row],[height multiplier]])-1</f>
        <v>59</v>
      </c>
      <c r="B60" s="1">
        <f>9</f>
        <v>9</v>
      </c>
      <c r="C60" s="1">
        <f>aspectratio[[#This Row],[step]]*aspectratio[[#This Row],[height multiplier]]</f>
        <v>531</v>
      </c>
      <c r="D60" s="1">
        <f>16</f>
        <v>16</v>
      </c>
      <c r="E60" s="1">
        <f>aspectratio[[#This Row],[width multiplier]]*aspectratio[[#This Row],[step]]</f>
        <v>944</v>
      </c>
    </row>
    <row r="61" spans="1:5" x14ac:dyDescent="0.25">
      <c r="A61">
        <f>ROW(aspectratio[[#This Row],[height multiplier]])-1</f>
        <v>60</v>
      </c>
      <c r="B61" s="1">
        <f>9</f>
        <v>9</v>
      </c>
      <c r="C61" s="1">
        <f>aspectratio[[#This Row],[step]]*aspectratio[[#This Row],[height multiplier]]</f>
        <v>540</v>
      </c>
      <c r="D61" s="1">
        <f>16</f>
        <v>16</v>
      </c>
      <c r="E61" s="1">
        <f>aspectratio[[#This Row],[width multiplier]]*aspectratio[[#This Row],[step]]</f>
        <v>960</v>
      </c>
    </row>
    <row r="62" spans="1:5" x14ac:dyDescent="0.25">
      <c r="A62" s="2">
        <f>ROW(aspectratio[[#This Row],[height multiplier]])-1</f>
        <v>61</v>
      </c>
      <c r="B62" s="3">
        <f>9</f>
        <v>9</v>
      </c>
      <c r="C62" s="3">
        <f>aspectratio[[#This Row],[step]]*aspectratio[[#This Row],[height multiplier]]</f>
        <v>549</v>
      </c>
      <c r="D62" s="3">
        <f>16</f>
        <v>16</v>
      </c>
      <c r="E62" s="3">
        <f>aspectratio[[#This Row],[width multiplier]]*aspectratio[[#This Row],[step]]</f>
        <v>976</v>
      </c>
    </row>
    <row r="63" spans="1:5" x14ac:dyDescent="0.25">
      <c r="A63">
        <f>ROW(aspectratio[[#This Row],[height multiplier]])-1</f>
        <v>62</v>
      </c>
      <c r="B63" s="1">
        <f>9</f>
        <v>9</v>
      </c>
      <c r="C63" s="1">
        <f>aspectratio[[#This Row],[step]]*aspectratio[[#This Row],[height multiplier]]</f>
        <v>558</v>
      </c>
      <c r="D63" s="1">
        <f>16</f>
        <v>16</v>
      </c>
      <c r="E63" s="1">
        <f>aspectratio[[#This Row],[width multiplier]]*aspectratio[[#This Row],[step]]</f>
        <v>992</v>
      </c>
    </row>
    <row r="64" spans="1:5" x14ac:dyDescent="0.25">
      <c r="A64">
        <f>ROW(aspectratio[[#This Row],[height multiplier]])-1</f>
        <v>63</v>
      </c>
      <c r="B64" s="1">
        <f>9</f>
        <v>9</v>
      </c>
      <c r="C64" s="1">
        <f>aspectratio[[#This Row],[step]]*aspectratio[[#This Row],[height multiplier]]</f>
        <v>567</v>
      </c>
      <c r="D64" s="1">
        <f>16</f>
        <v>16</v>
      </c>
      <c r="E64" s="1">
        <f>aspectratio[[#This Row],[width multiplier]]*aspectratio[[#This Row],[step]]</f>
        <v>1008</v>
      </c>
    </row>
    <row r="65" spans="1:5" x14ac:dyDescent="0.25">
      <c r="A65">
        <f>ROW(aspectratio[[#This Row],[height multiplier]])-1</f>
        <v>64</v>
      </c>
      <c r="B65" s="1">
        <f>9</f>
        <v>9</v>
      </c>
      <c r="C65" s="1">
        <f>aspectratio[[#This Row],[step]]*aspectratio[[#This Row],[height multiplier]]</f>
        <v>576</v>
      </c>
      <c r="D65" s="1">
        <f>16</f>
        <v>16</v>
      </c>
      <c r="E65" s="1">
        <f>aspectratio[[#This Row],[width multiplier]]*aspectratio[[#This Row],[step]]</f>
        <v>1024</v>
      </c>
    </row>
    <row r="66" spans="1:5" x14ac:dyDescent="0.25">
      <c r="A66">
        <f>ROW(aspectratio[[#This Row],[height multiplier]])-1</f>
        <v>65</v>
      </c>
      <c r="B66" s="1">
        <f>9</f>
        <v>9</v>
      </c>
      <c r="C66" s="1">
        <f>aspectratio[[#This Row],[step]]*aspectratio[[#This Row],[height multiplier]]</f>
        <v>585</v>
      </c>
      <c r="D66" s="1">
        <f>16</f>
        <v>16</v>
      </c>
      <c r="E66" s="1">
        <f>aspectratio[[#This Row],[width multiplier]]*aspectratio[[#This Row],[step]]</f>
        <v>1040</v>
      </c>
    </row>
    <row r="67" spans="1:5" x14ac:dyDescent="0.25">
      <c r="A67">
        <f>ROW(aspectratio[[#This Row],[height multiplier]])-1</f>
        <v>66</v>
      </c>
      <c r="B67" s="1">
        <f>9</f>
        <v>9</v>
      </c>
      <c r="C67" s="1">
        <f>aspectratio[[#This Row],[step]]*aspectratio[[#This Row],[height multiplier]]</f>
        <v>594</v>
      </c>
      <c r="D67" s="1">
        <f>16</f>
        <v>16</v>
      </c>
      <c r="E67" s="1">
        <f>aspectratio[[#This Row],[width multiplier]]*aspectratio[[#This Row],[step]]</f>
        <v>1056</v>
      </c>
    </row>
    <row r="68" spans="1:5" x14ac:dyDescent="0.25">
      <c r="A68">
        <f>ROW(aspectratio[[#This Row],[height multiplier]])-1</f>
        <v>67</v>
      </c>
      <c r="B68" s="1">
        <f>9</f>
        <v>9</v>
      </c>
      <c r="C68" s="1">
        <f>aspectratio[[#This Row],[step]]*aspectratio[[#This Row],[height multiplier]]</f>
        <v>603</v>
      </c>
      <c r="D68" s="1">
        <f>16</f>
        <v>16</v>
      </c>
      <c r="E68" s="1">
        <f>aspectratio[[#This Row],[width multiplier]]*aspectratio[[#This Row],[step]]</f>
        <v>1072</v>
      </c>
    </row>
    <row r="69" spans="1:5" x14ac:dyDescent="0.25">
      <c r="A69">
        <f>ROW(aspectratio[[#This Row],[height multiplier]])-1</f>
        <v>68</v>
      </c>
      <c r="B69" s="1">
        <f>9</f>
        <v>9</v>
      </c>
      <c r="C69" s="1">
        <f>aspectratio[[#This Row],[step]]*aspectratio[[#This Row],[height multiplier]]</f>
        <v>612</v>
      </c>
      <c r="D69" s="1">
        <f>16</f>
        <v>16</v>
      </c>
      <c r="E69" s="1">
        <f>aspectratio[[#This Row],[width multiplier]]*aspectratio[[#This Row],[step]]</f>
        <v>1088</v>
      </c>
    </row>
    <row r="70" spans="1:5" x14ac:dyDescent="0.25">
      <c r="A70">
        <f>ROW(aspectratio[[#This Row],[height multiplier]])-1</f>
        <v>69</v>
      </c>
      <c r="B70" s="1">
        <f>9</f>
        <v>9</v>
      </c>
      <c r="C70" s="1">
        <f>aspectratio[[#This Row],[step]]*aspectratio[[#This Row],[height multiplier]]</f>
        <v>621</v>
      </c>
      <c r="D70" s="1">
        <f>16</f>
        <v>16</v>
      </c>
      <c r="E70" s="1">
        <f>aspectratio[[#This Row],[width multiplier]]*aspectratio[[#This Row],[step]]</f>
        <v>1104</v>
      </c>
    </row>
    <row r="71" spans="1:5" x14ac:dyDescent="0.25">
      <c r="A71">
        <f>ROW(aspectratio[[#This Row],[height multiplier]])-1</f>
        <v>70</v>
      </c>
      <c r="B71" s="1">
        <f>9</f>
        <v>9</v>
      </c>
      <c r="C71" s="1">
        <f>aspectratio[[#This Row],[step]]*aspectratio[[#This Row],[height multiplier]]</f>
        <v>630</v>
      </c>
      <c r="D71" s="1">
        <f>16</f>
        <v>16</v>
      </c>
      <c r="E71" s="1">
        <f>aspectratio[[#This Row],[width multiplier]]*aspectratio[[#This Row],[step]]</f>
        <v>1120</v>
      </c>
    </row>
    <row r="72" spans="1:5" x14ac:dyDescent="0.25">
      <c r="A72">
        <f>ROW(aspectratio[[#This Row],[height multiplier]])-1</f>
        <v>71</v>
      </c>
      <c r="B72" s="1">
        <f>9</f>
        <v>9</v>
      </c>
      <c r="C72" s="1">
        <f>aspectratio[[#This Row],[step]]*aspectratio[[#This Row],[height multiplier]]</f>
        <v>639</v>
      </c>
      <c r="D72" s="1">
        <f>16</f>
        <v>16</v>
      </c>
      <c r="E72" s="1">
        <f>aspectratio[[#This Row],[width multiplier]]*aspectratio[[#This Row],[step]]</f>
        <v>1136</v>
      </c>
    </row>
    <row r="73" spans="1:5" x14ac:dyDescent="0.25">
      <c r="A73">
        <f>ROW(aspectratio[[#This Row],[height multiplier]])-1</f>
        <v>72</v>
      </c>
      <c r="B73" s="1">
        <f>9</f>
        <v>9</v>
      </c>
      <c r="C73" s="1">
        <f>aspectratio[[#This Row],[step]]*aspectratio[[#This Row],[height multiplier]]</f>
        <v>648</v>
      </c>
      <c r="D73" s="1">
        <f>16</f>
        <v>16</v>
      </c>
      <c r="E73" s="1">
        <f>aspectratio[[#This Row],[width multiplier]]*aspectratio[[#This Row],[step]]</f>
        <v>1152</v>
      </c>
    </row>
    <row r="74" spans="1:5" x14ac:dyDescent="0.25">
      <c r="A74">
        <f>ROW(aspectratio[[#This Row],[height multiplier]])-1</f>
        <v>73</v>
      </c>
      <c r="B74" s="1">
        <f>9</f>
        <v>9</v>
      </c>
      <c r="C74" s="1">
        <f>aspectratio[[#This Row],[step]]*aspectratio[[#This Row],[height multiplier]]</f>
        <v>657</v>
      </c>
      <c r="D74" s="1">
        <f>16</f>
        <v>16</v>
      </c>
      <c r="E74" s="1">
        <f>aspectratio[[#This Row],[width multiplier]]*aspectratio[[#This Row],[step]]</f>
        <v>1168</v>
      </c>
    </row>
    <row r="75" spans="1:5" x14ac:dyDescent="0.25">
      <c r="A75">
        <f>ROW(aspectratio[[#This Row],[height multiplier]])-1</f>
        <v>74</v>
      </c>
      <c r="B75" s="1">
        <f>9</f>
        <v>9</v>
      </c>
      <c r="C75" s="1">
        <f>aspectratio[[#This Row],[step]]*aspectratio[[#This Row],[height multiplier]]</f>
        <v>666</v>
      </c>
      <c r="D75" s="1">
        <f>16</f>
        <v>16</v>
      </c>
      <c r="E75" s="1">
        <f>aspectratio[[#This Row],[width multiplier]]*aspectratio[[#This Row],[step]]</f>
        <v>1184</v>
      </c>
    </row>
    <row r="76" spans="1:5" x14ac:dyDescent="0.25">
      <c r="A76">
        <f>ROW(aspectratio[[#This Row],[height multiplier]])-1</f>
        <v>75</v>
      </c>
      <c r="B76" s="1">
        <f>9</f>
        <v>9</v>
      </c>
      <c r="C76" s="1">
        <f>aspectratio[[#This Row],[step]]*aspectratio[[#This Row],[height multiplier]]</f>
        <v>675</v>
      </c>
      <c r="D76" s="1">
        <f>16</f>
        <v>16</v>
      </c>
      <c r="E76" s="1">
        <f>aspectratio[[#This Row],[width multiplier]]*aspectratio[[#This Row],[step]]</f>
        <v>1200</v>
      </c>
    </row>
    <row r="77" spans="1:5" x14ac:dyDescent="0.25">
      <c r="A77">
        <f>ROW(aspectratio[[#This Row],[height multiplier]])-1</f>
        <v>76</v>
      </c>
      <c r="B77" s="1">
        <f>9</f>
        <v>9</v>
      </c>
      <c r="C77" s="1">
        <f>aspectratio[[#This Row],[step]]*aspectratio[[#This Row],[height multiplier]]</f>
        <v>684</v>
      </c>
      <c r="D77" s="1">
        <f>16</f>
        <v>16</v>
      </c>
      <c r="E77" s="1">
        <f>aspectratio[[#This Row],[width multiplier]]*aspectratio[[#This Row],[step]]</f>
        <v>1216</v>
      </c>
    </row>
    <row r="78" spans="1:5" x14ac:dyDescent="0.25">
      <c r="A78">
        <f>ROW(aspectratio[[#This Row],[height multiplier]])-1</f>
        <v>77</v>
      </c>
      <c r="B78" s="1">
        <f>9</f>
        <v>9</v>
      </c>
      <c r="C78" s="1">
        <f>aspectratio[[#This Row],[step]]*aspectratio[[#This Row],[height multiplier]]</f>
        <v>693</v>
      </c>
      <c r="D78" s="1">
        <f>16</f>
        <v>16</v>
      </c>
      <c r="E78" s="1">
        <f>aspectratio[[#This Row],[width multiplier]]*aspectratio[[#This Row],[step]]</f>
        <v>1232</v>
      </c>
    </row>
    <row r="79" spans="1:5" x14ac:dyDescent="0.25">
      <c r="A79">
        <f>ROW(aspectratio[[#This Row],[height multiplier]])-1</f>
        <v>78</v>
      </c>
      <c r="B79" s="1">
        <f>9</f>
        <v>9</v>
      </c>
      <c r="C79" s="1">
        <f>aspectratio[[#This Row],[step]]*aspectratio[[#This Row],[height multiplier]]</f>
        <v>702</v>
      </c>
      <c r="D79" s="1">
        <f>16</f>
        <v>16</v>
      </c>
      <c r="E79" s="1">
        <f>aspectratio[[#This Row],[width multiplier]]*aspectratio[[#This Row],[step]]</f>
        <v>1248</v>
      </c>
    </row>
    <row r="80" spans="1:5" x14ac:dyDescent="0.25">
      <c r="A80">
        <f>ROW(aspectratio[[#This Row],[height multiplier]])-1</f>
        <v>79</v>
      </c>
      <c r="B80" s="1">
        <f>9</f>
        <v>9</v>
      </c>
      <c r="C80" s="1">
        <f>aspectratio[[#This Row],[step]]*aspectratio[[#This Row],[height multiplier]]</f>
        <v>711</v>
      </c>
      <c r="D80" s="1">
        <f>16</f>
        <v>16</v>
      </c>
      <c r="E80" s="1">
        <f>aspectratio[[#This Row],[width multiplier]]*aspectratio[[#This Row],[step]]</f>
        <v>1264</v>
      </c>
    </row>
    <row r="81" spans="1:5" x14ac:dyDescent="0.25">
      <c r="A81">
        <f>ROW(aspectratio[[#This Row],[height multiplier]])-1</f>
        <v>80</v>
      </c>
      <c r="B81" s="1">
        <f>9</f>
        <v>9</v>
      </c>
      <c r="C81" s="1">
        <f>aspectratio[[#This Row],[step]]*aspectratio[[#This Row],[height multiplier]]</f>
        <v>720</v>
      </c>
      <c r="D81" s="1">
        <f>16</f>
        <v>16</v>
      </c>
      <c r="E81" s="1">
        <f>aspectratio[[#This Row],[width multiplier]]*aspectratio[[#This Row],[step]]</f>
        <v>1280</v>
      </c>
    </row>
    <row r="82" spans="1:5" x14ac:dyDescent="0.25">
      <c r="A82" s="2">
        <f>ROW(aspectratio[[#This Row],[height multiplier]])-1</f>
        <v>81</v>
      </c>
      <c r="B82" s="3">
        <f>9</f>
        <v>9</v>
      </c>
      <c r="C82" s="3">
        <f>aspectratio[[#This Row],[step]]*aspectratio[[#This Row],[height multiplier]]</f>
        <v>729</v>
      </c>
      <c r="D82" s="3">
        <f>16</f>
        <v>16</v>
      </c>
      <c r="E82" s="3">
        <f>aspectratio[[#This Row],[width multiplier]]*aspectratio[[#This Row],[step]]</f>
        <v>1296</v>
      </c>
    </row>
    <row r="83" spans="1:5" x14ac:dyDescent="0.25">
      <c r="A83">
        <f>ROW(aspectratio[[#This Row],[height multiplier]])-1</f>
        <v>82</v>
      </c>
      <c r="B83" s="1">
        <f>9</f>
        <v>9</v>
      </c>
      <c r="C83" s="1">
        <f>aspectratio[[#This Row],[step]]*aspectratio[[#This Row],[height multiplier]]</f>
        <v>738</v>
      </c>
      <c r="D83" s="1">
        <f>16</f>
        <v>16</v>
      </c>
      <c r="E83" s="1">
        <f>aspectratio[[#This Row],[width multiplier]]*aspectratio[[#This Row],[step]]</f>
        <v>1312</v>
      </c>
    </row>
    <row r="84" spans="1:5" x14ac:dyDescent="0.25">
      <c r="A84">
        <f>ROW(aspectratio[[#This Row],[height multiplier]])-1</f>
        <v>83</v>
      </c>
      <c r="B84" s="1">
        <f>9</f>
        <v>9</v>
      </c>
      <c r="C84" s="1">
        <f>aspectratio[[#This Row],[step]]*aspectratio[[#This Row],[height multiplier]]</f>
        <v>747</v>
      </c>
      <c r="D84" s="1">
        <f>16</f>
        <v>16</v>
      </c>
      <c r="E84" s="1">
        <f>aspectratio[[#This Row],[width multiplier]]*aspectratio[[#This Row],[step]]</f>
        <v>1328</v>
      </c>
    </row>
    <row r="85" spans="1:5" x14ac:dyDescent="0.25">
      <c r="A85">
        <f>ROW(aspectratio[[#This Row],[height multiplier]])-1</f>
        <v>84</v>
      </c>
      <c r="B85" s="1">
        <f>9</f>
        <v>9</v>
      </c>
      <c r="C85" s="1">
        <f>aspectratio[[#This Row],[step]]*aspectratio[[#This Row],[height multiplier]]</f>
        <v>756</v>
      </c>
      <c r="D85" s="1">
        <f>16</f>
        <v>16</v>
      </c>
      <c r="E85" s="1">
        <f>aspectratio[[#This Row],[width multiplier]]*aspectratio[[#This Row],[step]]</f>
        <v>1344</v>
      </c>
    </row>
    <row r="86" spans="1:5" x14ac:dyDescent="0.25">
      <c r="A86">
        <f>ROW(aspectratio[[#This Row],[height multiplier]])-1</f>
        <v>85</v>
      </c>
      <c r="B86" s="1">
        <f>9</f>
        <v>9</v>
      </c>
      <c r="C86" s="1">
        <f>aspectratio[[#This Row],[step]]*aspectratio[[#This Row],[height multiplier]]</f>
        <v>765</v>
      </c>
      <c r="D86" s="1">
        <f>16</f>
        <v>16</v>
      </c>
      <c r="E86" s="1">
        <f>aspectratio[[#This Row],[width multiplier]]*aspectratio[[#This Row],[step]]</f>
        <v>1360</v>
      </c>
    </row>
    <row r="87" spans="1:5" x14ac:dyDescent="0.25">
      <c r="A87">
        <f>ROW(aspectratio[[#This Row],[height multiplier]])-1</f>
        <v>86</v>
      </c>
      <c r="B87" s="1">
        <f>9</f>
        <v>9</v>
      </c>
      <c r="C87" s="1">
        <f>aspectratio[[#This Row],[step]]*aspectratio[[#This Row],[height multiplier]]</f>
        <v>774</v>
      </c>
      <c r="D87" s="1">
        <f>16</f>
        <v>16</v>
      </c>
      <c r="E87" s="1">
        <f>aspectratio[[#This Row],[width multiplier]]*aspectratio[[#This Row],[step]]</f>
        <v>1376</v>
      </c>
    </row>
    <row r="88" spans="1:5" x14ac:dyDescent="0.25">
      <c r="A88" s="1">
        <f>ROW(aspectratio[[#This Row],[height multiplier]])-1</f>
        <v>87</v>
      </c>
      <c r="B88" s="1">
        <f>9</f>
        <v>9</v>
      </c>
      <c r="C88" s="1">
        <f>aspectratio[[#This Row],[step]]*aspectratio[[#This Row],[height multiplier]]</f>
        <v>783</v>
      </c>
      <c r="D88" s="1">
        <f>16</f>
        <v>16</v>
      </c>
      <c r="E88" s="1">
        <f>aspectratio[[#This Row],[width multiplier]]*aspectratio[[#This Row],[step]]</f>
        <v>1392</v>
      </c>
    </row>
    <row r="89" spans="1:5" x14ac:dyDescent="0.25">
      <c r="A89" s="1">
        <f>ROW(aspectratio[[#This Row],[height multiplier]])-1</f>
        <v>88</v>
      </c>
      <c r="B89" s="1">
        <f>9</f>
        <v>9</v>
      </c>
      <c r="C89" s="1">
        <f>aspectratio[[#This Row],[step]]*aspectratio[[#This Row],[height multiplier]]</f>
        <v>792</v>
      </c>
      <c r="D89" s="1">
        <f>16</f>
        <v>16</v>
      </c>
      <c r="E89" s="1">
        <f>aspectratio[[#This Row],[width multiplier]]*aspectratio[[#This Row],[step]]</f>
        <v>1408</v>
      </c>
    </row>
    <row r="90" spans="1:5" x14ac:dyDescent="0.25">
      <c r="A90" s="1">
        <f>ROW(aspectratio[[#This Row],[height multiplier]])-1</f>
        <v>89</v>
      </c>
      <c r="B90" s="1">
        <f>9</f>
        <v>9</v>
      </c>
      <c r="C90" s="1">
        <f>aspectratio[[#This Row],[step]]*aspectratio[[#This Row],[height multiplier]]</f>
        <v>801</v>
      </c>
      <c r="D90" s="1">
        <f>16</f>
        <v>16</v>
      </c>
      <c r="E90" s="1">
        <f>aspectratio[[#This Row],[width multiplier]]*aspectratio[[#This Row],[step]]</f>
        <v>1424</v>
      </c>
    </row>
    <row r="91" spans="1:5" x14ac:dyDescent="0.25">
      <c r="A91" s="1">
        <f>ROW(aspectratio[[#This Row],[height multiplier]])-1</f>
        <v>90</v>
      </c>
      <c r="B91" s="1">
        <f>9</f>
        <v>9</v>
      </c>
      <c r="C91" s="1">
        <f>aspectratio[[#This Row],[step]]*aspectratio[[#This Row],[height multiplier]]</f>
        <v>810</v>
      </c>
      <c r="D91" s="1">
        <f>16</f>
        <v>16</v>
      </c>
      <c r="E91" s="1">
        <f>aspectratio[[#This Row],[width multiplier]]*aspectratio[[#This Row],[step]]</f>
        <v>1440</v>
      </c>
    </row>
    <row r="92" spans="1:5" x14ac:dyDescent="0.25">
      <c r="A92" s="1">
        <f>ROW(aspectratio[[#This Row],[height multiplier]])-1</f>
        <v>91</v>
      </c>
      <c r="B92" s="1">
        <f>9</f>
        <v>9</v>
      </c>
      <c r="C92" s="1">
        <f>aspectratio[[#This Row],[step]]*aspectratio[[#This Row],[height multiplier]]</f>
        <v>819</v>
      </c>
      <c r="D92" s="1">
        <f>16</f>
        <v>16</v>
      </c>
      <c r="E92" s="1">
        <f>aspectratio[[#This Row],[width multiplier]]*aspectratio[[#This Row],[step]]</f>
        <v>1456</v>
      </c>
    </row>
    <row r="93" spans="1:5" x14ac:dyDescent="0.25">
      <c r="A93" s="1">
        <f>ROW(aspectratio[[#This Row],[height multiplier]])-1</f>
        <v>92</v>
      </c>
      <c r="B93" s="1">
        <f>9</f>
        <v>9</v>
      </c>
      <c r="C93" s="1">
        <f>aspectratio[[#This Row],[step]]*aspectratio[[#This Row],[height multiplier]]</f>
        <v>828</v>
      </c>
      <c r="D93" s="1">
        <f>16</f>
        <v>16</v>
      </c>
      <c r="E93" s="1">
        <f>aspectratio[[#This Row],[width multiplier]]*aspectratio[[#This Row],[step]]</f>
        <v>1472</v>
      </c>
    </row>
    <row r="94" spans="1:5" x14ac:dyDescent="0.25">
      <c r="A94" s="1">
        <f>ROW(aspectratio[[#This Row],[height multiplier]])-1</f>
        <v>93</v>
      </c>
      <c r="B94" s="1">
        <f>9</f>
        <v>9</v>
      </c>
      <c r="C94" s="1">
        <f>aspectratio[[#This Row],[step]]*aspectratio[[#This Row],[height multiplier]]</f>
        <v>837</v>
      </c>
      <c r="D94" s="1">
        <f>16</f>
        <v>16</v>
      </c>
      <c r="E94" s="1">
        <f>aspectratio[[#This Row],[width multiplier]]*aspectratio[[#This Row],[step]]</f>
        <v>1488</v>
      </c>
    </row>
    <row r="95" spans="1:5" x14ac:dyDescent="0.25">
      <c r="A95" s="1">
        <f>ROW(aspectratio[[#This Row],[height multiplier]])-1</f>
        <v>94</v>
      </c>
      <c r="B95" s="1">
        <f>9</f>
        <v>9</v>
      </c>
      <c r="C95" s="1">
        <f>aspectratio[[#This Row],[step]]*aspectratio[[#This Row],[height multiplier]]</f>
        <v>846</v>
      </c>
      <c r="D95" s="1">
        <f>16</f>
        <v>16</v>
      </c>
      <c r="E95" s="1">
        <f>aspectratio[[#This Row],[width multiplier]]*aspectratio[[#This Row],[step]]</f>
        <v>1504</v>
      </c>
    </row>
    <row r="96" spans="1:5" x14ac:dyDescent="0.25">
      <c r="A96" s="1">
        <f>ROW(aspectratio[[#This Row],[height multiplier]])-1</f>
        <v>95</v>
      </c>
      <c r="B96" s="1">
        <f>9</f>
        <v>9</v>
      </c>
      <c r="C96" s="1">
        <f>aspectratio[[#This Row],[step]]*aspectratio[[#This Row],[height multiplier]]</f>
        <v>855</v>
      </c>
      <c r="D96" s="1">
        <f>16</f>
        <v>16</v>
      </c>
      <c r="E96" s="1">
        <f>aspectratio[[#This Row],[width multiplier]]*aspectratio[[#This Row],[step]]</f>
        <v>1520</v>
      </c>
    </row>
    <row r="97" spans="1:5" x14ac:dyDescent="0.25">
      <c r="A97" s="1">
        <f>ROW(aspectratio[[#This Row],[height multiplier]])-1</f>
        <v>96</v>
      </c>
      <c r="B97" s="1">
        <f>9</f>
        <v>9</v>
      </c>
      <c r="C97" s="1">
        <f>aspectratio[[#This Row],[step]]*aspectratio[[#This Row],[height multiplier]]</f>
        <v>864</v>
      </c>
      <c r="D97" s="1">
        <f>16</f>
        <v>16</v>
      </c>
      <c r="E97" s="1">
        <f>aspectratio[[#This Row],[width multiplier]]*aspectratio[[#This Row],[step]]</f>
        <v>1536</v>
      </c>
    </row>
    <row r="98" spans="1:5" x14ac:dyDescent="0.25">
      <c r="A98" s="1">
        <f>ROW(aspectratio[[#This Row],[height multiplier]])-1</f>
        <v>97</v>
      </c>
      <c r="B98" s="1">
        <f>9</f>
        <v>9</v>
      </c>
      <c r="C98" s="1">
        <f>aspectratio[[#This Row],[step]]*aspectratio[[#This Row],[height multiplier]]</f>
        <v>873</v>
      </c>
      <c r="D98" s="1">
        <f>16</f>
        <v>16</v>
      </c>
      <c r="E98" s="1">
        <f>aspectratio[[#This Row],[width multiplier]]*aspectratio[[#This Row],[step]]</f>
        <v>1552</v>
      </c>
    </row>
    <row r="99" spans="1:5" x14ac:dyDescent="0.25">
      <c r="A99" s="1">
        <f>ROW(aspectratio[[#This Row],[height multiplier]])-1</f>
        <v>98</v>
      </c>
      <c r="B99" s="1">
        <f>9</f>
        <v>9</v>
      </c>
      <c r="C99" s="1">
        <f>aspectratio[[#This Row],[step]]*aspectratio[[#This Row],[height multiplier]]</f>
        <v>882</v>
      </c>
      <c r="D99" s="1">
        <f>16</f>
        <v>16</v>
      </c>
      <c r="E99" s="1">
        <f>aspectratio[[#This Row],[width multiplier]]*aspectratio[[#This Row],[step]]</f>
        <v>1568</v>
      </c>
    </row>
    <row r="100" spans="1:5" x14ac:dyDescent="0.25">
      <c r="A100" s="1">
        <f>ROW(aspectratio[[#This Row],[height multiplier]])-1</f>
        <v>99</v>
      </c>
      <c r="B100" s="1">
        <f>9</f>
        <v>9</v>
      </c>
      <c r="C100" s="1">
        <f>aspectratio[[#This Row],[step]]*aspectratio[[#This Row],[height multiplier]]</f>
        <v>891</v>
      </c>
      <c r="D100" s="1">
        <f>16</f>
        <v>16</v>
      </c>
      <c r="E100" s="1">
        <f>aspectratio[[#This Row],[width multiplier]]*aspectratio[[#This Row],[step]]</f>
        <v>1584</v>
      </c>
    </row>
    <row r="101" spans="1:5" x14ac:dyDescent="0.25">
      <c r="A101" s="1">
        <f>ROW(aspectratio[[#This Row],[height multiplier]])-1</f>
        <v>100</v>
      </c>
      <c r="B101" s="1">
        <f>9</f>
        <v>9</v>
      </c>
      <c r="C101" s="1">
        <f>aspectratio[[#This Row],[step]]*aspectratio[[#This Row],[height multiplier]]</f>
        <v>900</v>
      </c>
      <c r="D101" s="1">
        <f>16</f>
        <v>16</v>
      </c>
      <c r="E101" s="1">
        <f>aspectratio[[#This Row],[width multiplier]]*aspectratio[[#This Row],[step]]</f>
        <v>1600</v>
      </c>
    </row>
    <row r="102" spans="1:5" x14ac:dyDescent="0.25">
      <c r="A102" s="1">
        <f>ROW(aspectratio[[#This Row],[height multiplier]])-1</f>
        <v>101</v>
      </c>
      <c r="B102" s="1">
        <f>9</f>
        <v>9</v>
      </c>
      <c r="C102" s="1">
        <f>aspectratio[[#This Row],[step]]*aspectratio[[#This Row],[height multiplier]]</f>
        <v>909</v>
      </c>
      <c r="D102" s="1">
        <f>16</f>
        <v>16</v>
      </c>
      <c r="E102" s="1">
        <f>aspectratio[[#This Row],[width multiplier]]*aspectratio[[#This Row],[step]]</f>
        <v>1616</v>
      </c>
    </row>
    <row r="103" spans="1:5" x14ac:dyDescent="0.25">
      <c r="A103" s="1">
        <f>ROW(aspectratio[[#This Row],[height multiplier]])-1</f>
        <v>102</v>
      </c>
      <c r="B103" s="1">
        <f>9</f>
        <v>9</v>
      </c>
      <c r="C103" s="1">
        <f>aspectratio[[#This Row],[step]]*aspectratio[[#This Row],[height multiplier]]</f>
        <v>918</v>
      </c>
      <c r="D103" s="1">
        <f>16</f>
        <v>16</v>
      </c>
      <c r="E103" s="1">
        <f>aspectratio[[#This Row],[width multiplier]]*aspectratio[[#This Row],[step]]</f>
        <v>1632</v>
      </c>
    </row>
    <row r="104" spans="1:5" x14ac:dyDescent="0.25">
      <c r="A104" s="1">
        <f>ROW(aspectratio[[#This Row],[height multiplier]])-1</f>
        <v>103</v>
      </c>
      <c r="B104" s="1">
        <f>9</f>
        <v>9</v>
      </c>
      <c r="C104" s="1">
        <f>aspectratio[[#This Row],[step]]*aspectratio[[#This Row],[height multiplier]]</f>
        <v>927</v>
      </c>
      <c r="D104" s="1">
        <f>16</f>
        <v>16</v>
      </c>
      <c r="E104" s="1">
        <f>aspectratio[[#This Row],[width multiplier]]*aspectratio[[#This Row],[step]]</f>
        <v>1648</v>
      </c>
    </row>
    <row r="105" spans="1:5" x14ac:dyDescent="0.25">
      <c r="A105" s="1">
        <f>ROW(aspectratio[[#This Row],[height multiplier]])-1</f>
        <v>104</v>
      </c>
      <c r="B105" s="1">
        <f>9</f>
        <v>9</v>
      </c>
      <c r="C105" s="1">
        <f>aspectratio[[#This Row],[step]]*aspectratio[[#This Row],[height multiplier]]</f>
        <v>936</v>
      </c>
      <c r="D105" s="1">
        <f>16</f>
        <v>16</v>
      </c>
      <c r="E105" s="1">
        <f>aspectratio[[#This Row],[width multiplier]]*aspectratio[[#This Row],[step]]</f>
        <v>1664</v>
      </c>
    </row>
    <row r="106" spans="1:5" x14ac:dyDescent="0.25">
      <c r="A106" s="1">
        <f>ROW(aspectratio[[#This Row],[height multiplier]])-1</f>
        <v>105</v>
      </c>
      <c r="B106" s="1">
        <f>9</f>
        <v>9</v>
      </c>
      <c r="C106" s="1">
        <f>aspectratio[[#This Row],[step]]*aspectratio[[#This Row],[height multiplier]]</f>
        <v>945</v>
      </c>
      <c r="D106" s="1">
        <f>16</f>
        <v>16</v>
      </c>
      <c r="E106" s="1">
        <f>aspectratio[[#This Row],[width multiplier]]*aspectratio[[#This Row],[step]]</f>
        <v>1680</v>
      </c>
    </row>
    <row r="107" spans="1:5" x14ac:dyDescent="0.25">
      <c r="A107" s="1">
        <f>ROW(aspectratio[[#This Row],[height multiplier]])-1</f>
        <v>106</v>
      </c>
      <c r="B107" s="1">
        <f>9</f>
        <v>9</v>
      </c>
      <c r="C107" s="1">
        <f>aspectratio[[#This Row],[step]]*aspectratio[[#This Row],[height multiplier]]</f>
        <v>954</v>
      </c>
      <c r="D107" s="1">
        <f>16</f>
        <v>16</v>
      </c>
      <c r="E107" s="1">
        <f>aspectratio[[#This Row],[width multiplier]]*aspectratio[[#This Row],[step]]</f>
        <v>1696</v>
      </c>
    </row>
    <row r="108" spans="1:5" x14ac:dyDescent="0.25">
      <c r="A108" s="1">
        <f>ROW(aspectratio[[#This Row],[height multiplier]])-1</f>
        <v>107</v>
      </c>
      <c r="B108" s="1">
        <f>9</f>
        <v>9</v>
      </c>
      <c r="C108" s="1">
        <f>aspectratio[[#This Row],[step]]*aspectratio[[#This Row],[height multiplier]]</f>
        <v>963</v>
      </c>
      <c r="D108" s="1">
        <f>16</f>
        <v>16</v>
      </c>
      <c r="E108" s="1">
        <f>aspectratio[[#This Row],[width multiplier]]*aspectratio[[#This Row],[step]]</f>
        <v>1712</v>
      </c>
    </row>
    <row r="109" spans="1:5" x14ac:dyDescent="0.25">
      <c r="A109" s="1">
        <f>ROW(aspectratio[[#This Row],[height multiplier]])-1</f>
        <v>108</v>
      </c>
      <c r="B109" s="1">
        <f>9</f>
        <v>9</v>
      </c>
      <c r="C109" s="1">
        <f>aspectratio[[#This Row],[step]]*aspectratio[[#This Row],[height multiplier]]</f>
        <v>972</v>
      </c>
      <c r="D109" s="1">
        <f>16</f>
        <v>16</v>
      </c>
      <c r="E109" s="1">
        <f>aspectratio[[#This Row],[width multiplier]]*aspectratio[[#This Row],[step]]</f>
        <v>1728</v>
      </c>
    </row>
    <row r="110" spans="1:5" x14ac:dyDescent="0.25">
      <c r="A110" s="1">
        <f>ROW(aspectratio[[#This Row],[height multiplier]])-1</f>
        <v>109</v>
      </c>
      <c r="B110" s="1">
        <f>9</f>
        <v>9</v>
      </c>
      <c r="C110" s="1">
        <f>aspectratio[[#This Row],[step]]*aspectratio[[#This Row],[height multiplier]]</f>
        <v>981</v>
      </c>
      <c r="D110" s="1">
        <f>16</f>
        <v>16</v>
      </c>
      <c r="E110" s="1">
        <f>aspectratio[[#This Row],[width multiplier]]*aspectratio[[#This Row],[step]]</f>
        <v>1744</v>
      </c>
    </row>
    <row r="111" spans="1:5" x14ac:dyDescent="0.25">
      <c r="A111" s="1">
        <f>ROW(aspectratio[[#This Row],[height multiplier]])-1</f>
        <v>110</v>
      </c>
      <c r="B111" s="1">
        <f>9</f>
        <v>9</v>
      </c>
      <c r="C111" s="1">
        <f>aspectratio[[#This Row],[step]]*aspectratio[[#This Row],[height multiplier]]</f>
        <v>990</v>
      </c>
      <c r="D111" s="1">
        <f>16</f>
        <v>16</v>
      </c>
      <c r="E111" s="1">
        <f>aspectratio[[#This Row],[width multiplier]]*aspectratio[[#This Row],[step]]</f>
        <v>1760</v>
      </c>
    </row>
    <row r="112" spans="1:5" x14ac:dyDescent="0.25">
      <c r="A112" s="1">
        <f>ROW(aspectratio[[#This Row],[height multiplier]])-1</f>
        <v>111</v>
      </c>
      <c r="B112" s="1">
        <f>9</f>
        <v>9</v>
      </c>
      <c r="C112" s="1">
        <f>aspectratio[[#This Row],[step]]*aspectratio[[#This Row],[height multiplier]]</f>
        <v>999</v>
      </c>
      <c r="D112" s="1">
        <f>16</f>
        <v>16</v>
      </c>
      <c r="E112" s="1">
        <f>aspectratio[[#This Row],[width multiplier]]*aspectratio[[#This Row],[step]]</f>
        <v>1776</v>
      </c>
    </row>
    <row r="113" spans="1:5" x14ac:dyDescent="0.25">
      <c r="A113" s="1">
        <f>ROW(aspectratio[[#This Row],[height multiplier]])-1</f>
        <v>112</v>
      </c>
      <c r="B113" s="1">
        <f>9</f>
        <v>9</v>
      </c>
      <c r="C113" s="1">
        <f>aspectratio[[#This Row],[step]]*aspectratio[[#This Row],[height multiplier]]</f>
        <v>1008</v>
      </c>
      <c r="D113" s="1">
        <f>16</f>
        <v>16</v>
      </c>
      <c r="E113" s="1">
        <f>aspectratio[[#This Row],[width multiplier]]*aspectratio[[#This Row],[step]]</f>
        <v>1792</v>
      </c>
    </row>
    <row r="114" spans="1:5" x14ac:dyDescent="0.25">
      <c r="A114" s="1">
        <f>ROW(aspectratio[[#This Row],[height multiplier]])-1</f>
        <v>113</v>
      </c>
      <c r="B114" s="1">
        <f>9</f>
        <v>9</v>
      </c>
      <c r="C114" s="1">
        <f>aspectratio[[#This Row],[step]]*aspectratio[[#This Row],[height multiplier]]</f>
        <v>1017</v>
      </c>
      <c r="D114" s="1">
        <f>16</f>
        <v>16</v>
      </c>
      <c r="E114" s="1">
        <f>aspectratio[[#This Row],[width multiplier]]*aspectratio[[#This Row],[step]]</f>
        <v>1808</v>
      </c>
    </row>
    <row r="115" spans="1:5" x14ac:dyDescent="0.25">
      <c r="A115" s="1">
        <f>ROW(aspectratio[[#This Row],[height multiplier]])-1</f>
        <v>114</v>
      </c>
      <c r="B115" s="1">
        <f>9</f>
        <v>9</v>
      </c>
      <c r="C115" s="1">
        <f>aspectratio[[#This Row],[step]]*aspectratio[[#This Row],[height multiplier]]</f>
        <v>1026</v>
      </c>
      <c r="D115" s="1">
        <f>16</f>
        <v>16</v>
      </c>
      <c r="E115" s="1">
        <f>aspectratio[[#This Row],[width multiplier]]*aspectratio[[#This Row],[step]]</f>
        <v>1824</v>
      </c>
    </row>
    <row r="116" spans="1:5" x14ac:dyDescent="0.25">
      <c r="A116" s="1">
        <f>ROW(aspectratio[[#This Row],[height multiplier]])-1</f>
        <v>115</v>
      </c>
      <c r="B116" s="1">
        <f>9</f>
        <v>9</v>
      </c>
      <c r="C116" s="1">
        <f>aspectratio[[#This Row],[step]]*aspectratio[[#This Row],[height multiplier]]</f>
        <v>1035</v>
      </c>
      <c r="D116" s="1">
        <f>16</f>
        <v>16</v>
      </c>
      <c r="E116" s="1">
        <f>aspectratio[[#This Row],[width multiplier]]*aspectratio[[#This Row],[step]]</f>
        <v>1840</v>
      </c>
    </row>
    <row r="117" spans="1:5" x14ac:dyDescent="0.25">
      <c r="A117" s="1">
        <f>ROW(aspectratio[[#This Row],[height multiplier]])-1</f>
        <v>116</v>
      </c>
      <c r="B117" s="1">
        <f>9</f>
        <v>9</v>
      </c>
      <c r="C117" s="1">
        <f>aspectratio[[#This Row],[step]]*aspectratio[[#This Row],[height multiplier]]</f>
        <v>1044</v>
      </c>
      <c r="D117" s="1">
        <f>16</f>
        <v>16</v>
      </c>
      <c r="E117" s="1">
        <f>aspectratio[[#This Row],[width multiplier]]*aspectratio[[#This Row],[step]]</f>
        <v>1856</v>
      </c>
    </row>
    <row r="118" spans="1:5" x14ac:dyDescent="0.25">
      <c r="A118" s="1">
        <f>ROW(aspectratio[[#This Row],[height multiplier]])-1</f>
        <v>117</v>
      </c>
      <c r="B118" s="1">
        <f>9</f>
        <v>9</v>
      </c>
      <c r="C118" s="1">
        <f>aspectratio[[#This Row],[step]]*aspectratio[[#This Row],[height multiplier]]</f>
        <v>1053</v>
      </c>
      <c r="D118" s="1">
        <f>16</f>
        <v>16</v>
      </c>
      <c r="E118" s="1">
        <f>aspectratio[[#This Row],[width multiplier]]*aspectratio[[#This Row],[step]]</f>
        <v>1872</v>
      </c>
    </row>
    <row r="119" spans="1:5" x14ac:dyDescent="0.25">
      <c r="A119" s="1">
        <f>ROW(aspectratio[[#This Row],[height multiplier]])-1</f>
        <v>118</v>
      </c>
      <c r="B119" s="1">
        <f>9</f>
        <v>9</v>
      </c>
      <c r="C119" s="1">
        <f>aspectratio[[#This Row],[step]]*aspectratio[[#This Row],[height multiplier]]</f>
        <v>1062</v>
      </c>
      <c r="D119" s="1">
        <f>16</f>
        <v>16</v>
      </c>
      <c r="E119" s="1">
        <f>aspectratio[[#This Row],[width multiplier]]*aspectratio[[#This Row],[step]]</f>
        <v>1888</v>
      </c>
    </row>
    <row r="120" spans="1:5" x14ac:dyDescent="0.25">
      <c r="A120" s="1">
        <f>ROW(aspectratio[[#This Row],[height multiplier]])-1</f>
        <v>119</v>
      </c>
      <c r="B120" s="1">
        <f>9</f>
        <v>9</v>
      </c>
      <c r="C120" s="1">
        <f>aspectratio[[#This Row],[step]]*aspectratio[[#This Row],[height multiplier]]</f>
        <v>1071</v>
      </c>
      <c r="D120" s="1">
        <f>16</f>
        <v>16</v>
      </c>
      <c r="E120" s="1">
        <f>aspectratio[[#This Row],[width multiplier]]*aspectratio[[#This Row],[step]]</f>
        <v>1904</v>
      </c>
    </row>
    <row r="121" spans="1:5" x14ac:dyDescent="0.25">
      <c r="A121" s="1">
        <f>ROW(aspectratio[[#This Row],[height multiplier]])-1</f>
        <v>120</v>
      </c>
      <c r="B121" s="1">
        <f>9</f>
        <v>9</v>
      </c>
      <c r="C121" s="1">
        <f>aspectratio[[#This Row],[step]]*aspectratio[[#This Row],[height multiplier]]</f>
        <v>1080</v>
      </c>
      <c r="D121" s="1">
        <f>16</f>
        <v>16</v>
      </c>
      <c r="E121" s="1">
        <f>aspectratio[[#This Row],[width multiplier]]*aspectratio[[#This Row],[step]]</f>
        <v>1920</v>
      </c>
    </row>
    <row r="122" spans="1:5" x14ac:dyDescent="0.25">
      <c r="A122" s="1">
        <f>ROW(aspectratio[[#This Row],[height multiplier]])-1</f>
        <v>121</v>
      </c>
      <c r="B122" s="1">
        <f>9</f>
        <v>9</v>
      </c>
      <c r="C122" s="1">
        <f>aspectratio[[#This Row],[step]]*aspectratio[[#This Row],[height multiplier]]</f>
        <v>1089</v>
      </c>
      <c r="D122" s="1">
        <f>16</f>
        <v>16</v>
      </c>
      <c r="E122" s="1">
        <f>aspectratio[[#This Row],[width multiplier]]*aspectratio[[#This Row],[step]]</f>
        <v>1936</v>
      </c>
    </row>
    <row r="123" spans="1:5" x14ac:dyDescent="0.25">
      <c r="A123" s="1"/>
      <c r="B123" s="1"/>
      <c r="C123" s="1"/>
      <c r="D123" s="1"/>
      <c r="E123" s="1"/>
    </row>
    <row r="124" spans="1:5" x14ac:dyDescent="0.25">
      <c r="A124" s="1"/>
      <c r="B124" s="1"/>
      <c r="C124" s="1"/>
      <c r="D124" s="1"/>
      <c r="E124" s="1"/>
    </row>
    <row r="125" spans="1:5" x14ac:dyDescent="0.25">
      <c r="A125" s="1"/>
      <c r="B125" s="1"/>
      <c r="C125" s="1"/>
      <c r="D125" s="1"/>
      <c r="E125" s="1"/>
    </row>
  </sheetData>
  <mergeCells count="1">
    <mergeCell ref="I19:M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genSmil_Click">
                <anchor moveWithCells="1" sizeWithCells="1">
                  <from>
                    <xdr:col>7</xdr:col>
                    <xdr:colOff>0</xdr:colOff>
                    <xdr:row>15</xdr:row>
                    <xdr:rowOff>171450</xdr:rowOff>
                  </from>
                  <to>
                    <xdr:col>9</xdr:col>
                    <xdr:colOff>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SCC</dc:creator>
  <cp:lastModifiedBy>SCC</cp:lastModifiedBy>
  <dcterms:created xsi:type="dcterms:W3CDTF">2022-08-27T11:16:42Z</dcterms:created>
  <dcterms:modified xsi:type="dcterms:W3CDTF">2022-08-28T10:33:02Z</dcterms:modified>
</cp:coreProperties>
</file>